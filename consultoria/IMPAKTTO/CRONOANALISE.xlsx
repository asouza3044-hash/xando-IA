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5" autoFilterDateGrouping="1"/>
  </bookViews>
  <sheets>
    <sheet name="0_CAPA" sheetId="1" state="hidden" r:id="rId1"/>
    <sheet name="1_DASHBOARD" sheetId="2" state="hidden" r:id="rId2"/>
    <sheet name="_AGREG" sheetId="3" state="hidden" r:id="rId3"/>
    <sheet name="2_INSTRUCOES" sheetId="4" state="hidden" r:id="rId4"/>
    <sheet name="3_CADASTROS" sheetId="5" state="hidden" r:id="rId5"/>
    <sheet name="4_APONTAMENTO_HIST" sheetId="6" state="visible" r:id="rId6"/>
    <sheet name="5_COLETA_CRONO" sheetId="7" state="hidden" r:id="rId7"/>
    <sheet name="6_COLETA_AMOSTRAGEM" sheetId="8" state="hidden" r:id="rId8"/>
    <sheet name="7_TEMPOS_PADRAO" sheetId="9" state="hidden" r:id="rId9"/>
    <sheet name="8_CARGA_MAQUINA" sheetId="10" state="hidden" r:id="rId10"/>
    <sheet name="9_PRODUTIVIDADE" sheetId="11" state="hidden" r:id="rId11"/>
    <sheet name="10_PLANO_MELHORIA" sheetId="12" state="hidden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FF1F3A5F"/>
      <sz val="28"/>
    </font>
    <font>
      <name val="Calibri"/>
      <i val="1"/>
      <color rgb="FF3C4858"/>
      <sz val="13"/>
    </font>
    <font>
      <name val="Calibri"/>
      <b val="1"/>
      <color rgb="FFE87722"/>
      <sz val="10"/>
    </font>
    <font>
      <name val="Calibri"/>
      <color rgb="FF3C4858"/>
      <sz val="12"/>
    </font>
    <font>
      <name val="Calibri"/>
      <b val="1"/>
      <color rgb="FF1F3A5F"/>
      <sz val="14"/>
    </font>
    <font>
      <name val="Calibri"/>
      <b val="1"/>
      <color rgb="FFE87722"/>
      <sz val="11"/>
    </font>
    <font>
      <name val="Calibri"/>
      <b val="1"/>
      <color rgb="FF1F3A5F"/>
      <sz val="11"/>
    </font>
    <font>
      <name val="Calibri"/>
      <color rgb="FF3C4858"/>
      <sz val="10"/>
    </font>
    <font>
      <name val="Calibri"/>
      <i val="1"/>
      <color rgb="FF3C4858"/>
      <sz val="9"/>
    </font>
    <font>
      <name val="Calibri"/>
      <b val="1"/>
      <color rgb="FF1F3A5F"/>
      <sz val="20"/>
    </font>
    <font>
      <name val="Calibri"/>
      <i val="1"/>
      <color rgb="FF3C4858"/>
      <sz val="10"/>
    </font>
    <font>
      <name val="Calibri"/>
      <b val="1"/>
      <color rgb="FF3C4858"/>
      <sz val="9"/>
    </font>
    <font>
      <name val="Calibri"/>
      <b val="1"/>
      <color rgb="FFFFFFFF"/>
      <sz val="11"/>
    </font>
    <font>
      <name val="Calibri"/>
      <i val="1"/>
      <color rgb="FFE87722"/>
      <sz val="9"/>
    </font>
    <font>
      <name val="Calibri"/>
      <color rgb="FF3C4858"/>
      <sz val="11"/>
    </font>
    <font>
      <name val="Calibri"/>
      <b val="1"/>
      <color rgb="FF1F3A5F"/>
      <sz val="13"/>
    </font>
    <font>
      <name val="Calibri"/>
      <b val="1"/>
      <color rgb="FF1F3A5F"/>
      <sz val="16"/>
    </font>
  </fonts>
  <fills count="7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87722"/>
      </patternFill>
    </fill>
    <fill>
      <patternFill patternType="solid">
        <fgColor rgb="FFF5F7FA"/>
      </patternFill>
    </fill>
    <fill>
      <patternFill patternType="solid">
        <fgColor rgb="FF2E933C"/>
      </patternFill>
    </fill>
    <fill>
      <patternFill patternType="solid">
        <fgColor rgb="FFC0392B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7" fillId="0" borderId="0" pivotButton="0" quotePrefix="0" xfId="0"/>
    <xf numFmtId="164" fontId="0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5" fillId="4" borderId="0" applyAlignment="1" pivotButton="0" quotePrefix="0" xfId="0">
      <alignment horizontal="left" vertical="center" wrapText="1" indent="1"/>
    </xf>
    <xf numFmtId="2" fontId="0" fillId="0" borderId="1" pivotButton="0" quotePrefix="0" xfId="0"/>
    <xf numFmtId="2" fontId="0" fillId="4" borderId="1" pivotButton="0" quotePrefix="0" xfId="0"/>
    <xf numFmtId="0" fontId="8" fillId="4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9" fillId="0" borderId="0" pivotButton="0" quotePrefix="0" xfId="0"/>
    <xf numFmtId="164" fontId="1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9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5" fillId="0" borderId="0" pivotButton="0" quotePrefix="0" xfId="0"/>
    <xf numFmtId="3" fontId="1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1" fontId="1" fillId="4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9" pivotButton="0" quotePrefix="0" xfId="0"/>
    <xf numFmtId="0" fontId="0" fillId="4" borderId="9" pivotButton="0" quotePrefix="0" xfId="0"/>
  </cellXfs>
  <cellStyles count="1">
    <cellStyle name="Normal" xfId="0" builtinId="0"/>
  </cellStyles>
  <dxfs count="3">
    <dxf>
      <fill>
        <patternFill patternType="solid">
          <fgColor rgb="FFFADBD8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t-BR"/>
              <a:t>Quantidade produzida por operador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'1_DASHBOARD'!$D$17</f>
              <strCache>
                <ptCount val="1"/>
                <pt idx="0">
                  <v>QTD_PROD</v>
                </pt>
              </strCache>
            </strRef>
          </tx>
          <spPr>
            <a:ln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'1_DASHBOARD'!$B$18:$B$22</f>
              <strCache>
                <ptCount val="5"/>
                <pt idx="0">
                  <v>Clayton</v>
                </pt>
                <pt idx="1">
                  <v>Ulton</v>
                </pt>
                <pt idx="2">
                  <v>Vanildo</v>
                </pt>
                <pt idx="3">
                  <v>Vita</v>
                </pt>
                <pt idx="4">
                  <v>dilma</v>
                </pt>
              </strCache>
            </strRef>
          </cat>
          <val>
            <numRef>
              <f>'1_DASHBOARD'!$D$18:$D$22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61</v>
                </pt>
                <pt idx="3">
                  <v>16</v>
                </pt>
                <pt idx="4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791190972222223"/>
          <y val="0.5658231481481482"/>
          <w val="0.105446875"/>
          <h val="0.3544027777777778"/>
        </manualLayout>
      </layout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t-BR"/>
              <a:t>Quantidade produzida por peça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'1_DASHBOARD'!$H$17</f>
              <strCache>
                <ptCount val="1"/>
                <pt idx="0">
                  <v>QTD_PROD</v>
                </pt>
              </strCache>
            </strRef>
          </tx>
          <spPr>
            <a:ln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'1_DASHBOARD'!$G$18:$G$21</f>
              <numCache>
                <formatCode>General</formatCode>
                <ptCount val="4"/>
                <pt idx="0">
                  <v>30809</v>
                </pt>
                <pt idx="1">
                  <v>31552</v>
                </pt>
                <pt idx="2">
                  <v>31652</v>
                </pt>
                <pt idx="3">
                  <v>31553</v>
                </pt>
              </numCache>
            </numRef>
          </cat>
          <val>
            <numRef>
              <f>'1_DASHBOARD'!$H$18:$H$21</f>
              <numCache>
                <formatCode>General</formatCode>
                <ptCount val="4"/>
                <pt idx="0">
                  <v>184</v>
                </pt>
                <pt idx="1">
                  <v>216</v>
                </pt>
                <pt idx="2">
                  <v>5</v>
                </pt>
                <pt idx="3">
                  <v>55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t-BR"/>
              <a:t>Frequência de paradas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'1_DASHBOARD'!$C$48</f>
              <strCache>
                <ptCount val="1"/>
                <pt idx="0">
                  <v>OCORRÊNCIAS</v>
                </pt>
              </strCache>
            </strRef>
          </tx>
          <spPr>
            <a:ln>
              <a:prstDash val="solid"/>
            </a:ln>
          </spPr>
          <invertIfNegative val="1"/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'1_DASHBOARD'!$B$49:$B$52</f>
              <strCache>
                <ptCount val="4"/>
                <pt idx="0">
                  <v>P01</v>
                </pt>
                <pt idx="1">
                  <v>P07</v>
                </pt>
                <pt idx="2">
                  <v>P11</v>
                </pt>
                <pt idx="3">
                  <v>P16</v>
                </pt>
              </strCache>
            </strRef>
          </cat>
          <val>
            <numRef>
              <f>'1_DASHBOARD'!$C$49:$C$52</f>
              <numCache>
                <formatCode>General</formatCode>
                <ptCount val="4"/>
                <pt idx="0">
                  <v>2</v>
                </pt>
                <pt idx="1">
                  <v>9</v>
                </pt>
                <pt idx="2">
                  <v>1</v>
                </pt>
                <pt idx="3">
                  <v>1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121920</colOff>
      <row>24</row>
      <rowOff>22860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24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44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topLeftCell="A33" workbookViewId="0">
      <selection activeCell="C37" sqref="C37:G37"/>
    </sheetView>
  </sheetViews>
  <sheetFormatPr baseColWidth="8" defaultRowHeight="14.4"/>
  <cols>
    <col width="3" customWidth="1" style="27" min="1" max="1"/>
    <col width="2" customWidth="1" style="27" min="2" max="2"/>
    <col width="30" customWidth="1" style="27" min="3" max="7"/>
    <col width="3" customWidth="1" style="27" min="8" max="8"/>
  </cols>
  <sheetData>
    <row r="1" ht="22.05" customHeight="1" s="27">
      <c r="A1" s="1" t="n"/>
    </row>
    <row r="2" ht="22.05" customHeight="1" s="27">
      <c r="A2" s="1" t="n"/>
    </row>
    <row r="3" ht="10.8" customHeight="1" s="27">
      <c r="A3" s="1" t="n"/>
    </row>
    <row r="4" ht="22.05" customHeight="1" s="27">
      <c r="A4" s="1" t="n"/>
      <c r="C4" s="46" t="inlineStr">
        <is>
          <t>CRONOANÁLISE INDUSTRIAL</t>
        </is>
      </c>
    </row>
    <row r="5" ht="22.05" customHeight="1" s="27">
      <c r="A5" s="1" t="n"/>
      <c r="C5" s="30" t="inlineStr">
        <is>
          <t>Diagnóstico de capacidade, produtividade e tempo-padrão</t>
        </is>
      </c>
    </row>
    <row r="6" ht="22.05" customHeight="1" s="27">
      <c r="A6" s="1" t="n"/>
    </row>
    <row r="7" ht="4.05" customHeight="1" s="27">
      <c r="A7" s="1" t="n"/>
      <c r="C7" s="2" t="n"/>
      <c r="D7" s="2" t="n"/>
      <c r="E7" s="2" t="n"/>
      <c r="F7" s="2" t="n"/>
      <c r="G7" s="2" t="n"/>
    </row>
    <row r="8" ht="22.05" customHeight="1" s="27">
      <c r="A8" s="1" t="n"/>
    </row>
    <row r="9" ht="22.05" customHeight="1" s="27">
      <c r="A9" s="1" t="n"/>
    </row>
    <row r="10" ht="22.05" customHeight="1" s="27">
      <c r="A10" s="1" t="n"/>
      <c r="C10" s="3" t="n"/>
      <c r="D10" s="28" t="inlineStr">
        <is>
          <t>IMPAKTTO</t>
        </is>
      </c>
    </row>
    <row r="11" ht="22.05" customHeight="1" s="27">
      <c r="A11" s="1" t="n"/>
      <c r="C11" s="3" t="inlineStr">
        <is>
          <t>ELABORADOR POR</t>
        </is>
      </c>
      <c r="D11" s="28" t="inlineStr">
        <is>
          <t xml:space="preserve">Alexandre Souza </t>
        </is>
      </c>
    </row>
    <row r="12" ht="22.05" customHeight="1" s="27">
      <c r="A12" s="1" t="n"/>
      <c r="C12" s="3" t="inlineStr">
        <is>
          <t>INÍCIO</t>
        </is>
      </c>
      <c r="D12" s="28" t="inlineStr">
        <is>
          <t>2026-05-09</t>
        </is>
      </c>
    </row>
    <row r="13" ht="22.05" customHeight="1" s="27">
      <c r="A13" s="1" t="n"/>
      <c r="C13" s="3" t="inlineStr">
        <is>
          <t>ESCOPO</t>
        </is>
      </c>
      <c r="D13" s="28" t="inlineStr">
        <is>
          <t>Fábrica completa — usinagem CNC</t>
        </is>
      </c>
    </row>
    <row r="14" ht="22.05" customHeight="1" s="27">
      <c r="A14" s="1" t="n"/>
      <c r="C14" s="3" t="inlineStr">
        <is>
          <t>MÉTODO</t>
        </is>
      </c>
      <c r="D14" s="28" t="inlineStr">
        <is>
          <t>Apontamento histórico (OCR) + Cronometragem + Amostragem do Trabalho</t>
        </is>
      </c>
    </row>
    <row r="15" ht="22.05" customHeight="1" s="27">
      <c r="A15" s="1" t="n"/>
      <c r="C15" s="3" t="inlineStr">
        <is>
          <t>ENTREGÁVEIS</t>
        </is>
      </c>
      <c r="D15" s="28" t="inlineStr">
        <is>
          <t>Tempo-Padrão · Carga-Máquina · Produtividade O×M×P · Plano de Melhoria</t>
        </is>
      </c>
    </row>
    <row r="16" ht="22.05" customHeight="1" s="27">
      <c r="A16" s="1" t="n"/>
    </row>
    <row r="17" ht="22.05" customHeight="1" s="27">
      <c r="A17" s="1" t="n"/>
    </row>
    <row r="18" ht="22.05" customHeight="1" s="27">
      <c r="A18" s="1" t="n"/>
    </row>
    <row r="19" ht="22.05" customHeight="1" s="27">
      <c r="A19" s="1" t="n"/>
      <c r="C19" s="40" t="inlineStr">
        <is>
          <t>SUMÁRIO</t>
        </is>
      </c>
    </row>
    <row r="20" ht="22.05" customHeight="1" s="27">
      <c r="A20" s="1" t="n"/>
    </row>
    <row r="21" ht="22.05" customHeight="1" s="27">
      <c r="A21" s="1" t="n"/>
      <c r="C21" s="5" t="inlineStr">
        <is>
          <t>1</t>
        </is>
      </c>
      <c r="D21" s="6" t="inlineStr">
        <is>
          <t>DASHBOARD</t>
        </is>
      </c>
      <c r="E21" s="26" t="inlineStr">
        <is>
          <t>Visão executiva — KPIs, Pareto de paradas, ocupação</t>
        </is>
      </c>
    </row>
    <row r="22" ht="22.05" customHeight="1" s="27">
      <c r="A22" s="1" t="n"/>
      <c r="C22" s="7" t="inlineStr">
        <is>
          <t>2</t>
        </is>
      </c>
      <c r="D22" s="8" t="inlineStr">
        <is>
          <t>INSTRUÇÕES</t>
        </is>
      </c>
      <c r="E22" s="29" t="inlineStr">
        <is>
          <t>Guia de uso e fluxo metodológico</t>
        </is>
      </c>
    </row>
    <row r="23" ht="22.05" customHeight="1" s="27">
      <c r="A23" s="1" t="n"/>
      <c r="C23" s="5" t="inlineStr">
        <is>
          <t>3</t>
        </is>
      </c>
      <c r="D23" s="6" t="inlineStr">
        <is>
          <t>CADASTROS</t>
        </is>
      </c>
      <c r="E23" s="26" t="inlineStr">
        <is>
          <t>Máquinas, operadores, peças, códigos parada, turnos</t>
        </is>
      </c>
    </row>
    <row r="24" ht="22.05" customHeight="1" s="27">
      <c r="A24" s="1" t="n"/>
      <c r="C24" s="7" t="inlineStr">
        <is>
          <t>4</t>
        </is>
      </c>
      <c r="D24" s="8" t="inlineStr">
        <is>
          <t>APONTAMENTO_HIST</t>
        </is>
      </c>
      <c r="E24" s="29" t="inlineStr">
        <is>
          <t>Histórico do formulário IMPAKTTO (via OCR)</t>
        </is>
      </c>
    </row>
    <row r="25" ht="22.05" customHeight="1" s="27">
      <c r="A25" s="1" t="n"/>
      <c r="C25" s="5" t="inlineStr">
        <is>
          <t>5</t>
        </is>
      </c>
      <c r="D25" s="6" t="inlineStr">
        <is>
          <t>COLETA_CRONO</t>
        </is>
      </c>
      <c r="E25" s="26" t="inlineStr">
        <is>
          <t>Cronometragem de calibração (10 ciclos × peça)</t>
        </is>
      </c>
    </row>
    <row r="26" ht="22.05" customHeight="1" s="27">
      <c r="A26" s="1" t="n"/>
      <c r="C26" s="7" t="inlineStr">
        <is>
          <t>6</t>
        </is>
      </c>
      <c r="D26" s="8" t="inlineStr">
        <is>
          <t>COLETA_AMOSTRAGEM</t>
        </is>
      </c>
      <c r="E26" s="29" t="inlineStr">
        <is>
          <t>Amostragem do trabalho (work sampling)</t>
        </is>
      </c>
    </row>
    <row r="27" ht="22.05" customHeight="1" s="27">
      <c r="A27" s="1" t="n"/>
      <c r="C27" s="5" t="inlineStr">
        <is>
          <t>7</t>
        </is>
      </c>
      <c r="D27" s="6" t="inlineStr">
        <is>
          <t>TEMPOS_PADRAO</t>
        </is>
      </c>
      <c r="E27" s="26" t="inlineStr">
        <is>
          <t>TP oficial — Fator de Apontamento × peças/hora</t>
        </is>
      </c>
    </row>
    <row r="28" ht="22.05" customHeight="1" s="27">
      <c r="A28" s="1" t="n"/>
      <c r="C28" s="7" t="inlineStr">
        <is>
          <t>8</t>
        </is>
      </c>
      <c r="D28" s="8" t="inlineStr">
        <is>
          <t>CARGA_MAQUINA</t>
        </is>
      </c>
      <c r="E28" s="29" t="inlineStr">
        <is>
          <t>Capacidade × demanda × ocupação real</t>
        </is>
      </c>
    </row>
    <row r="29" ht="22.05" customHeight="1" s="27">
      <c r="A29" s="1" t="n"/>
      <c r="C29" s="5" t="inlineStr">
        <is>
          <t>9</t>
        </is>
      </c>
      <c r="D29" s="6" t="inlineStr">
        <is>
          <t>PRODUTIVIDADE</t>
        </is>
      </c>
      <c r="E29" s="26" t="inlineStr">
        <is>
          <t>Matriz Operador × Máquina × Peça</t>
        </is>
      </c>
    </row>
    <row r="30" ht="22.05" customHeight="1" s="27">
      <c r="A30" s="1" t="n"/>
      <c r="C30" s="7" t="inlineStr">
        <is>
          <t>10</t>
        </is>
      </c>
      <c r="D30" s="8" t="inlineStr">
        <is>
          <t>PLANO_MELHORIA</t>
        </is>
      </c>
      <c r="E30" s="29" t="inlineStr">
        <is>
          <t>Ações priorizadas (impacto × esforço)</t>
        </is>
      </c>
    </row>
    <row r="31" ht="22.05" customHeight="1" s="27">
      <c r="A31" s="1" t="n"/>
    </row>
    <row r="32" ht="22.05" customHeight="1" s="27">
      <c r="A32" s="1" t="n"/>
    </row>
    <row r="33" ht="22.05" customHeight="1" s="27">
      <c r="A33" s="1" t="n"/>
    </row>
    <row r="34" ht="22.05" customHeight="1" s="27">
      <c r="A34" s="1" t="n"/>
    </row>
    <row r="35" ht="22.05" customHeight="1" s="27">
      <c r="A35" s="1" t="n"/>
    </row>
    <row r="36" ht="22.05" customHeight="1" s="27">
      <c r="A36" s="1" t="n"/>
    </row>
    <row r="37" ht="22.05" customHeight="1" s="27">
      <c r="A37" s="1" t="n"/>
      <c r="C37" s="31" t="n"/>
    </row>
    <row r="38" ht="22.05" customHeight="1" s="27">
      <c r="A38" s="1" t="n"/>
    </row>
    <row r="39" ht="22.05" customHeight="1" s="27">
      <c r="A39" s="1" t="n"/>
    </row>
  </sheetData>
  <mergeCells count="19">
    <mergeCell ref="E28:G28"/>
    <mergeCell ref="D12:G12"/>
    <mergeCell ref="C5:G5"/>
    <mergeCell ref="D15:G15"/>
    <mergeCell ref="E30:G30"/>
    <mergeCell ref="D14:G14"/>
    <mergeCell ref="C4:G4"/>
    <mergeCell ref="E27:G27"/>
    <mergeCell ref="E26:G26"/>
    <mergeCell ref="D10:G10"/>
    <mergeCell ref="E25:G25"/>
    <mergeCell ref="E22:G22"/>
    <mergeCell ref="D11:G11"/>
    <mergeCell ref="D13:G13"/>
    <mergeCell ref="E21:G21"/>
    <mergeCell ref="E24:G24"/>
    <mergeCell ref="E23:G23"/>
    <mergeCell ref="C37:G37"/>
    <mergeCell ref="E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52"/>
  <sheetViews>
    <sheetView showGridLines="0" topLeftCell="A34" workbookViewId="0">
      <selection activeCell="A1" sqref="A1"/>
    </sheetView>
  </sheetViews>
  <sheetFormatPr baseColWidth="8" defaultRowHeight="14.4"/>
  <cols>
    <col width="2" customWidth="1" style="27" min="1" max="1"/>
    <col width="18" customWidth="1" style="27" min="2" max="9"/>
    <col width="2" customWidth="1" style="27" min="10" max="10"/>
  </cols>
  <sheetData>
    <row r="1" ht="19.95" customHeight="1" s="27"/>
    <row r="2" ht="19.95" customHeight="1" s="27">
      <c r="B2" s="42" t="inlineStr">
        <is>
          <t>DASHBOARD EXECUTIVO</t>
        </is>
      </c>
    </row>
    <row r="3" ht="19.95" customHeight="1" s="27">
      <c r="B3" s="39" t="inlineStr">
        <is>
          <t>IMPAKTTO · Cronoanálise · atualização automática conforme dados são preenchidos</t>
        </is>
      </c>
    </row>
    <row r="4" ht="3" customHeight="1" s="27">
      <c r="B4" s="2" t="n"/>
      <c r="C4" s="2" t="n"/>
      <c r="D4" s="2" t="n"/>
      <c r="E4" s="2" t="n"/>
      <c r="F4" s="2" t="n"/>
      <c r="G4" s="2" t="n"/>
      <c r="H4" s="2" t="n"/>
      <c r="I4" s="2" t="n"/>
    </row>
    <row r="5" ht="19.95" customHeight="1" s="27"/>
    <row r="6" ht="6" customHeight="1" s="27">
      <c r="B6" s="9" t="n"/>
      <c r="C6" s="9" t="n"/>
      <c r="D6" s="10" t="n"/>
      <c r="E6" s="10" t="n"/>
      <c r="F6" s="11" t="n"/>
      <c r="G6" s="11" t="n"/>
      <c r="H6" s="12" t="n"/>
      <c r="I6" s="12" t="n"/>
    </row>
    <row r="7" ht="19.95" customHeight="1" s="27">
      <c r="B7" s="38" t="inlineStr">
        <is>
          <t>OPs REGISTRADAS</t>
        </is>
      </c>
      <c r="C7" s="37" t="n"/>
      <c r="D7" s="38" t="inlineStr">
        <is>
          <t>QTD PRODUZIDA</t>
        </is>
      </c>
      <c r="E7" s="37" t="n"/>
      <c r="F7" s="38" t="inlineStr">
        <is>
          <t>% ATENDIDO</t>
        </is>
      </c>
      <c r="G7" s="37" t="n"/>
      <c r="H7" s="38" t="inlineStr">
        <is>
          <t>PARADAS REGISTRADAS</t>
        </is>
      </c>
      <c r="I7" s="37" t="n"/>
    </row>
    <row r="8" ht="30" customHeight="1" s="27">
      <c r="B8" s="43">
        <f>IFERROR(_AGREG!B2,"—")</f>
        <v/>
      </c>
      <c r="C8" s="33" t="n"/>
      <c r="D8" s="41">
        <f>IFERROR(_AGREG!B3,"—")</f>
        <v/>
      </c>
      <c r="E8" s="33" t="n"/>
      <c r="F8" s="32">
        <f>IFERROR(_AGREG!B4,"—")</f>
        <v/>
      </c>
      <c r="G8" s="33" t="n"/>
      <c r="H8" s="43">
        <f>IFERROR(_AGREG!B5,"—")</f>
        <v/>
      </c>
      <c r="I8" s="33" t="n"/>
    </row>
    <row r="9" ht="18" customHeight="1" s="27">
      <c r="B9" s="34" t="n"/>
      <c r="C9" s="35" t="n"/>
      <c r="D9" s="34" t="n"/>
      <c r="E9" s="35" t="n"/>
      <c r="F9" s="34" t="n"/>
      <c r="G9" s="35" t="n"/>
      <c r="H9" s="34" t="n"/>
      <c r="I9" s="35" t="n"/>
    </row>
    <row r="10" ht="19.95" customHeight="1" s="27">
      <c r="B10" s="36" t="inlineStr">
        <is>
          <t>no apontamento OCR</t>
        </is>
      </c>
      <c r="C10" s="37" t="n"/>
      <c r="D10" s="36" t="inlineStr">
        <is>
          <t>soma das peças</t>
        </is>
      </c>
      <c r="E10" s="37" t="n"/>
      <c r="F10" s="36" t="inlineStr">
        <is>
          <t>produzido ÷ pedido</t>
        </is>
      </c>
      <c r="G10" s="37" t="n"/>
      <c r="H10" s="36" t="inlineStr">
        <is>
          <t>ocorrências códigos P</t>
        </is>
      </c>
      <c r="I10" s="37" t="n"/>
    </row>
    <row r="11" ht="19.95" customHeight="1" s="27"/>
    <row r="12" ht="19.95" customHeight="1" s="27"/>
    <row r="13" ht="19.95" customHeight="1" s="27"/>
    <row r="14" ht="19.95" customHeight="1" s="27">
      <c r="B14" s="40" t="inlineStr">
        <is>
          <t>PRODUTIVIDADE POR OPERADOR</t>
        </is>
      </c>
      <c r="G14" s="40" t="inlineStr">
        <is>
          <t>PRODUTIVIDADE POR PEÇA</t>
        </is>
      </c>
    </row>
    <row r="15" ht="19.95" customHeight="1" s="27">
      <c r="B15" s="31" t="inlineStr">
        <is>
          <t>OPs · Quantidade produzida · % do mix de produção</t>
        </is>
      </c>
      <c r="G15" s="31" t="inlineStr">
        <is>
          <t>Mix produzido — base item do formulário</t>
        </is>
      </c>
    </row>
    <row r="16" ht="19.95" customHeight="1" s="27"/>
    <row r="17" ht="28.05" customHeight="1" s="27">
      <c r="A17" s="14" t="n"/>
      <c r="B17" s="14" t="inlineStr">
        <is>
          <t>OPERADOR</t>
        </is>
      </c>
      <c r="C17" s="14" t="inlineStr">
        <is>
          <t>OPs</t>
        </is>
      </c>
      <c r="D17" s="14" t="inlineStr">
        <is>
          <t>QTD_PROD</t>
        </is>
      </c>
      <c r="E17" t="inlineStr">
        <is>
          <t>% MIX</t>
        </is>
      </c>
      <c r="G17" s="14" t="inlineStr">
        <is>
          <t>ITEM</t>
        </is>
      </c>
      <c r="H17" s="14" t="inlineStr">
        <is>
          <t>QTD_PROD</t>
        </is>
      </c>
      <c r="I17" s="14" t="inlineStr">
        <is>
          <t>% MIX</t>
        </is>
      </c>
    </row>
    <row r="18" ht="19.95" customHeight="1" s="27">
      <c r="B18" s="15">
        <f>IFERROR(_AGREG!D3,"")</f>
        <v/>
      </c>
      <c r="C18" s="15">
        <f>IFERROR(_AGREG!E3,"")</f>
        <v/>
      </c>
      <c r="D18" s="15">
        <f>IFERROR(_AGREG!F3,"")</f>
        <v/>
      </c>
      <c r="E18" s="16">
        <f>IFERROR(_AGREG!G3,"")</f>
        <v/>
      </c>
      <c r="G18" s="15">
        <f>IFERROR(_AGREG!K3,"")</f>
        <v/>
      </c>
      <c r="H18" s="15">
        <f>IFERROR(_AGREG!M3,"")</f>
        <v/>
      </c>
      <c r="I18" s="16">
        <f>IFERROR(_AGREG!N3,"")</f>
        <v/>
      </c>
    </row>
    <row r="19" ht="19.95" customHeight="1" s="27">
      <c r="B19" s="13">
        <f>IFERROR(_AGREG!D4,"")</f>
        <v/>
      </c>
      <c r="C19" s="13">
        <f>IFERROR(_AGREG!E4,"")</f>
        <v/>
      </c>
      <c r="D19" s="13">
        <f>IFERROR(_AGREG!F4,"")</f>
        <v/>
      </c>
      <c r="E19" s="17">
        <f>IFERROR(_AGREG!G4,"")</f>
        <v/>
      </c>
      <c r="G19" s="13">
        <f>IFERROR(_AGREG!K4,"")</f>
        <v/>
      </c>
      <c r="H19" s="13">
        <f>IFERROR(_AGREG!M4,"")</f>
        <v/>
      </c>
      <c r="I19" s="17">
        <f>IFERROR(_AGREG!N4,"")</f>
        <v/>
      </c>
    </row>
    <row r="20" ht="19.95" customHeight="1" s="27">
      <c r="B20" s="15">
        <f>IFERROR(_AGREG!D5,"")</f>
        <v/>
      </c>
      <c r="C20" s="15">
        <f>IFERROR(_AGREG!E5,"")</f>
        <v/>
      </c>
      <c r="D20" s="15">
        <f>IFERROR(_AGREG!F5,"")</f>
        <v/>
      </c>
      <c r="E20" s="16">
        <f>IFERROR(_AGREG!G5,"")</f>
        <v/>
      </c>
      <c r="G20" s="15">
        <f>IFERROR(_AGREG!K5,"")</f>
        <v/>
      </c>
      <c r="H20" s="15">
        <f>IFERROR(_AGREG!M5,"")</f>
        <v/>
      </c>
      <c r="I20" s="16">
        <f>IFERROR(_AGREG!N5,"")</f>
        <v/>
      </c>
    </row>
    <row r="21" ht="19.95" customHeight="1" s="27">
      <c r="B21" s="13">
        <f>IFERROR(_AGREG!D6,"")</f>
        <v/>
      </c>
      <c r="C21" s="13">
        <f>IFERROR(_AGREG!E6,"")</f>
        <v/>
      </c>
      <c r="D21" s="13">
        <f>IFERROR(_AGREG!F6,"")</f>
        <v/>
      </c>
      <c r="E21" s="17">
        <f>IFERROR(_AGREG!G6,"")</f>
        <v/>
      </c>
      <c r="G21" s="13">
        <f>IFERROR(_AGREG!K6,"")</f>
        <v/>
      </c>
      <c r="H21" s="13">
        <f>IFERROR(_AGREG!M6,"")</f>
        <v/>
      </c>
      <c r="I21" s="17">
        <f>IFERROR(_AGREG!N6,"")</f>
        <v/>
      </c>
    </row>
    <row r="22" ht="19.95" customHeight="1" s="27">
      <c r="B22" s="15">
        <f>IFERROR(_AGREG!D7,"")</f>
        <v/>
      </c>
      <c r="C22" s="15">
        <f>IFERROR(_AGREG!E7,"")</f>
        <v/>
      </c>
      <c r="D22" s="15">
        <f>IFERROR(_AGREG!F7,"")</f>
        <v/>
      </c>
      <c r="E22" s="16">
        <f>IFERROR(_AGREG!G7,"")</f>
        <v/>
      </c>
    </row>
    <row r="23" ht="19.95" customHeight="1" s="27"/>
    <row r="24" ht="19.95" customHeight="1" s="27"/>
    <row r="25" ht="19.95" customHeight="1" s="27"/>
    <row r="26" ht="19.95" customHeight="1" s="27"/>
    <row r="27" ht="19.95" customHeight="1" s="27"/>
    <row r="28" ht="19.95" customHeight="1" s="27"/>
    <row r="29" ht="19.95" customHeight="1" s="27"/>
    <row r="30" ht="19.95" customHeight="1" s="27"/>
    <row r="31" ht="19.95" customHeight="1" s="27"/>
    <row r="32" ht="19.95" customHeight="1" s="27"/>
    <row r="33" ht="19.95" customHeight="1" s="27"/>
    <row r="34" ht="19.95" customHeight="1" s="27"/>
    <row r="35" ht="19.95" customHeight="1" s="27"/>
    <row r="36" ht="19.95" customHeight="1" s="27"/>
    <row r="37" ht="19.95" customHeight="1" s="27"/>
    <row r="38" ht="19.95" customHeight="1" s="27"/>
    <row r="39" ht="19.95" customHeight="1" s="27"/>
    <row r="40" ht="19.95" customHeight="1" s="27"/>
    <row r="41" ht="19.95" customHeight="1" s="27"/>
    <row r="42" ht="19.95" customHeight="1" s="27"/>
    <row r="43" ht="19.95" customHeight="1" s="27"/>
    <row r="44" ht="19.95" customHeight="1" s="27"/>
    <row r="45" ht="19.95" customHeight="1" s="27">
      <c r="B45" s="40" t="inlineStr">
        <is>
          <t>PARETO DE PARADAS (frequência)</t>
        </is>
      </c>
    </row>
    <row r="46" ht="19.95" customHeight="1" s="27">
      <c r="B46" s="31" t="inlineStr">
        <is>
          <t>Códigos vistos no formulário — frequência (não horas, ainda)</t>
        </is>
      </c>
    </row>
    <row r="47" ht="19.95" customHeight="1" s="27"/>
    <row r="48" ht="28.05" customHeight="1" s="27">
      <c r="A48" s="14" t="n"/>
      <c r="B48" s="14" t="inlineStr">
        <is>
          <t>CÓDIGO</t>
        </is>
      </c>
      <c r="C48" s="14" t="inlineStr">
        <is>
          <t>OCORRÊNCIAS</t>
        </is>
      </c>
      <c r="D48" t="inlineStr">
        <is>
          <t>% ACUM</t>
        </is>
      </c>
    </row>
    <row r="49" ht="19.95" customHeight="1" s="27">
      <c r="B49" s="13">
        <f>IFERROR(_AGREG!P3,"")</f>
        <v/>
      </c>
      <c r="C49" s="13">
        <f>IFERROR(_AGREG!Q3,"")</f>
        <v/>
      </c>
      <c r="D49" s="17">
        <f>IFERROR(_AGREG!R3,"")</f>
        <v/>
      </c>
    </row>
    <row r="50" ht="19.95" customHeight="1" s="27">
      <c r="B50" s="15">
        <f>IFERROR(_AGREG!P4,"")</f>
        <v/>
      </c>
      <c r="C50" s="15">
        <f>IFERROR(_AGREG!Q4,"")</f>
        <v/>
      </c>
      <c r="D50" s="16">
        <f>IFERROR(_AGREG!R4,"")</f>
        <v/>
      </c>
    </row>
    <row r="51">
      <c r="B51" s="13">
        <f>IFERROR(_AGREG!P5,"")</f>
        <v/>
      </c>
      <c r="C51" s="13">
        <f>IFERROR(_AGREG!Q5,"")</f>
        <v/>
      </c>
      <c r="D51" s="17">
        <f>IFERROR(_AGREG!R5,"")</f>
        <v/>
      </c>
    </row>
    <row r="52">
      <c r="B52" s="15">
        <f>IFERROR(_AGREG!P6,"")</f>
        <v/>
      </c>
      <c r="C52" s="15">
        <f>IFERROR(_AGREG!Q6,"")</f>
        <v/>
      </c>
      <c r="D52" s="16">
        <f>IFERROR(_AGREG!R6,"")</f>
        <v/>
      </c>
    </row>
  </sheetData>
  <mergeCells count="20">
    <mergeCell ref="F8:G9"/>
    <mergeCell ref="D10:E10"/>
    <mergeCell ref="B7:C7"/>
    <mergeCell ref="F10:G10"/>
    <mergeCell ref="H10:I10"/>
    <mergeCell ref="B15:E15"/>
    <mergeCell ref="B3:I3"/>
    <mergeCell ref="G15:I15"/>
    <mergeCell ref="F7:G7"/>
    <mergeCell ref="B45:E45"/>
    <mergeCell ref="D8:E9"/>
    <mergeCell ref="G14:I14"/>
    <mergeCell ref="B2:I2"/>
    <mergeCell ref="H8:I9"/>
    <mergeCell ref="B46:E46"/>
    <mergeCell ref="D7:E7"/>
    <mergeCell ref="H7:I7"/>
    <mergeCell ref="B10:C10"/>
    <mergeCell ref="B14:E14"/>
    <mergeCell ref="B8:C9"/>
  </mergeCells>
  <conditionalFormatting sqref="E18:E22">
    <cfRule type="dataBar" priority="1">
      <dataBar>
        <cfvo type="num" val="0"/>
        <cfvo type="num" val="1"/>
        <color rgb="FF1F3A5F"/>
      </dataBar>
    </cfRule>
  </conditionalFormatting>
  <conditionalFormatting sqref="I18:I21">
    <cfRule type="dataBar" priority="2">
      <dataBar>
        <cfvo type="num" val="0"/>
        <cfvo type="num" val="1"/>
        <color rgb="FFE87722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selection activeCell="A1" sqref="A1"/>
    </sheetView>
  </sheetViews>
  <sheetFormatPr baseColWidth="8" defaultRowHeight="14.4"/>
  <sheetData>
    <row r="1">
      <c r="A1" s="18" t="inlineStr">
        <is>
          <t>KPIs (dinâmico)</t>
        </is>
      </c>
      <c r="D1" s="18" t="inlineStr">
        <is>
          <t>PRODUTIVIDADE — POR OPERADOR</t>
        </is>
      </c>
      <c r="K1" s="18" t="inlineStr">
        <is>
          <t>PRODUTIVIDADE — POR PEÇA</t>
        </is>
      </c>
      <c r="P1" s="18" t="inlineStr">
        <is>
          <t>Pareto Paradas (frequência)</t>
        </is>
      </c>
    </row>
    <row r="2">
      <c r="A2" t="inlineStr">
        <is>
          <t>OPs registradas</t>
        </is>
      </c>
      <c r="B2">
        <f>COUNTA('4_APONTAMENTO_HIST'!$A$4:$A$203)</f>
        <v/>
      </c>
      <c r="D2" t="inlineStr">
        <is>
          <t>OPERADOR</t>
        </is>
      </c>
      <c r="E2" t="inlineStr">
        <is>
          <t>OPs</t>
        </is>
      </c>
      <c r="F2" t="inlineStr">
        <is>
          <t>QTD_PROD</t>
        </is>
      </c>
      <c r="G2" t="inlineStr">
        <is>
          <t>% MIX</t>
        </is>
      </c>
      <c r="I2">
        <f>SUM('4_APONTAMENTO_HIST'!$G$4:$G$203)</f>
        <v/>
      </c>
      <c r="K2" t="inlineStr">
        <is>
          <t>ITEM</t>
        </is>
      </c>
      <c r="L2" t="inlineStr">
        <is>
          <t>OPs</t>
        </is>
      </c>
      <c r="M2" t="inlineStr">
        <is>
          <t>QTD_PROD</t>
        </is>
      </c>
      <c r="N2" t="inlineStr">
        <is>
          <t>% MIX</t>
        </is>
      </c>
      <c r="P2" t="inlineStr">
        <is>
          <t>CÓDIGO</t>
        </is>
      </c>
      <c r="Q2" t="inlineStr">
        <is>
          <t>OCORR</t>
        </is>
      </c>
      <c r="R2" t="inlineStr">
        <is>
          <t>% ACUM</t>
        </is>
      </c>
    </row>
    <row r="3">
      <c r="A3" t="inlineStr">
        <is>
          <t>Total qtd produzida</t>
        </is>
      </c>
      <c r="B3">
        <f>SUM('4_APONTAMENTO_HIST'!$G$4:$G$203)</f>
        <v/>
      </c>
      <c r="D3" t="inlineStr">
        <is>
          <t>Clayton</t>
        </is>
      </c>
      <c r="E3">
        <f>COUNTIF('4_APONTAMENTO_HIST'!$O$4:$O$203,"*Clayton*")</f>
        <v/>
      </c>
      <c r="F3">
        <f>SUMIF('4_APONTAMENTO_HIST'!$O$4:$O$203,"*Clayton*",'4_APONTAMENTO_HIST'!$G$4:$G$203)</f>
        <v/>
      </c>
      <c r="G3" s="19">
        <f>IFERROR(F3/MAX($I$2,1),0)</f>
        <v/>
      </c>
      <c r="K3" t="n">
        <v>30809</v>
      </c>
      <c r="L3">
        <f>COUNTIF('4_APONTAMENTO_HIST'!$C$4:$C$203,30809)</f>
        <v/>
      </c>
      <c r="M3">
        <f>SUMIF('4_APONTAMENTO_HIST'!$C$4:$C$203,30809,'4_APONTAMENTO_HIST'!$G$4:$G$203)</f>
        <v/>
      </c>
      <c r="N3" s="19">
        <f>IFERROR(M3/MAX($I$2,1),0)</f>
        <v/>
      </c>
      <c r="P3" t="inlineStr">
        <is>
          <t>P01</t>
        </is>
      </c>
      <c r="Q3">
        <f>COUNTIF('4_APONTAMENTO_HIST'!$M$4:$M$203,"P01")</f>
        <v/>
      </c>
      <c r="R3" s="19">
        <f>IFERROR(SUM($Q$3:Q3)/SUM($Q$3:$Q$10),0)</f>
        <v/>
      </c>
    </row>
    <row r="4">
      <c r="A4" t="inlineStr">
        <is>
          <t>% atendido (prod/ped)</t>
        </is>
      </c>
      <c r="B4" s="19">
        <f>IFERROR(SUM('4_APONTAMENTO_HIST'!$G$4:$G$203)/SUM('4_APONTAMENTO_HIST'!$H$4:$H$203),0)</f>
        <v/>
      </c>
      <c r="D4" t="inlineStr">
        <is>
          <t>Ulton</t>
        </is>
      </c>
      <c r="E4">
        <f>COUNTIF('4_APONTAMENTO_HIST'!$O$4:$O$203,"*Ulton*")</f>
        <v/>
      </c>
      <c r="F4">
        <f>SUMIF('4_APONTAMENTO_HIST'!$O$4:$O$203,"*Ulton*",'4_APONTAMENTO_HIST'!$G$4:$G$203)</f>
        <v/>
      </c>
      <c r="G4" s="19">
        <f>IFERROR(F4/MAX($I$2,1),0)</f>
        <v/>
      </c>
      <c r="K4" t="n">
        <v>31552</v>
      </c>
      <c r="L4">
        <f>COUNTIF('4_APONTAMENTO_HIST'!$C$4:$C$203,31552)</f>
        <v/>
      </c>
      <c r="M4">
        <f>SUMIF('4_APONTAMENTO_HIST'!$C$4:$C$203,31552,'4_APONTAMENTO_HIST'!$G$4:$G$203)</f>
        <v/>
      </c>
      <c r="N4" s="19">
        <f>IFERROR(M4/MAX($I$2,1),0)</f>
        <v/>
      </c>
      <c r="P4" t="inlineStr">
        <is>
          <t>P07</t>
        </is>
      </c>
      <c r="Q4">
        <f>COUNTIF('4_APONTAMENTO_HIST'!$M$4:$M$203,"P07")</f>
        <v/>
      </c>
      <c r="R4" s="19">
        <f>IFERROR(SUM($Q$3:Q4)/SUM($Q$3:$Q$10),0)</f>
        <v/>
      </c>
    </row>
    <row r="5">
      <c r="A5" t="inlineStr">
        <is>
          <t>Paradas registradas</t>
        </is>
      </c>
      <c r="B5">
        <f>SUMPRODUCT(--('4_APONTAMENTO_HIST'!$M$4:$M$203&lt;&gt;""))</f>
        <v/>
      </c>
      <c r="D5" t="inlineStr">
        <is>
          <t>Vanildo</t>
        </is>
      </c>
      <c r="E5">
        <f>COUNTIF('4_APONTAMENTO_HIST'!$O$4:$O$203,"*Vanildo*")</f>
        <v/>
      </c>
      <c r="F5">
        <f>SUMIF('4_APONTAMENTO_HIST'!$O$4:$O$203,"*Vanildo*",'4_APONTAMENTO_HIST'!$G$4:$G$203)</f>
        <v/>
      </c>
      <c r="G5" s="19">
        <f>IFERROR(F5/MAX($I$2,1),0)</f>
        <v/>
      </c>
      <c r="K5" t="n">
        <v>31652</v>
      </c>
      <c r="L5">
        <f>COUNTIF('4_APONTAMENTO_HIST'!$C$4:$C$203,31652)</f>
        <v/>
      </c>
      <c r="M5">
        <f>SUMIF('4_APONTAMENTO_HIST'!$C$4:$C$203,31652,'4_APONTAMENTO_HIST'!$G$4:$G$203)</f>
        <v/>
      </c>
      <c r="N5" s="19">
        <f>IFERROR(M5/MAX($I$2,1),0)</f>
        <v/>
      </c>
      <c r="P5" t="inlineStr">
        <is>
          <t>P11</t>
        </is>
      </c>
      <c r="Q5">
        <f>COUNTIF('4_APONTAMENTO_HIST'!$M$4:$M$203,"P11")</f>
        <v/>
      </c>
      <c r="R5" s="19">
        <f>IFERROR(SUM($Q$3:Q5)/SUM($Q$3:$Q$10),0)</f>
        <v/>
      </c>
    </row>
    <row r="6">
      <c r="D6" t="inlineStr">
        <is>
          <t>Vita</t>
        </is>
      </c>
      <c r="E6">
        <f>COUNTIF('4_APONTAMENTO_HIST'!$O$4:$O$203,"*Vita*")</f>
        <v/>
      </c>
      <c r="F6">
        <f>SUMIF('4_APONTAMENTO_HIST'!$O$4:$O$203,"*Vita*",'4_APONTAMENTO_HIST'!$G$4:$G$203)</f>
        <v/>
      </c>
      <c r="G6" s="19">
        <f>IFERROR(F6/MAX($I$2,1),0)</f>
        <v/>
      </c>
      <c r="K6" t="n">
        <v>31553</v>
      </c>
      <c r="L6">
        <f>COUNTIF('4_APONTAMENTO_HIST'!$C$4:$C$203,31553)</f>
        <v/>
      </c>
      <c r="M6">
        <f>SUMIF('4_APONTAMENTO_HIST'!$C$4:$C$203,31553,'4_APONTAMENTO_HIST'!$G$4:$G$203)</f>
        <v/>
      </c>
      <c r="N6" s="19">
        <f>IFERROR(M6/MAX($I$2,1),0)</f>
        <v/>
      </c>
      <c r="P6" t="inlineStr">
        <is>
          <t>P16</t>
        </is>
      </c>
      <c r="Q6">
        <f>COUNTIF('4_APONTAMENTO_HIST'!$M$4:$M$203,"P16")</f>
        <v/>
      </c>
      <c r="R6" s="19">
        <f>IFERROR(SUM($Q$3:Q6)/SUM($Q$3:$Q$10),0)</f>
        <v/>
      </c>
    </row>
    <row r="7">
      <c r="D7" t="inlineStr">
        <is>
          <t>dilma</t>
        </is>
      </c>
      <c r="E7">
        <f>COUNTIF('4_APONTAMENTO_HIST'!$O$4:$O$203,"*dilma*")</f>
        <v/>
      </c>
      <c r="F7">
        <f>SUMIF('4_APONTAMENTO_HIST'!$O$4:$O$203,"*dilma*",'4_APONTAMENTO_HIST'!$G$4:$G$203)</f>
        <v/>
      </c>
      <c r="G7" s="19">
        <f>IFERROR(F7/MAX($I$2,1),0)</f>
        <v/>
      </c>
    </row>
    <row r="15">
      <c r="A15" s="20" t="inlineStr">
        <is>
          <t>ℹ Tudo calculado de 4_APONTAMENTO_HIST. Atualiza com novas fotos.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4.4"/>
  <cols>
    <col width="3" customWidth="1" style="27" min="1" max="1"/>
    <col width="22" customWidth="1" style="27" min="2" max="2"/>
    <col width="70" customWidth="1" style="27" min="3" max="3"/>
  </cols>
  <sheetData>
    <row r="2" ht="25.8" customHeight="1" s="27">
      <c r="B2" s="42" t="inlineStr">
        <is>
          <t>INSTRUÇÕES E FLUXO</t>
        </is>
      </c>
    </row>
    <row r="4" ht="3" customHeight="1" s="27">
      <c r="B4" s="2" t="n"/>
      <c r="C4" s="2" t="n"/>
    </row>
    <row r="6" ht="28.05" customHeight="1" s="27">
      <c r="B6" s="3" t="inlineStr">
        <is>
          <t>OBJETIVO</t>
        </is>
      </c>
      <c r="C6" s="21" t="inlineStr">
        <is>
          <t>Cronoanálise IMPAKTTO → Tempo-Padrão, Carga-Máquina, Produtividade O×M×P, Plano de Melhoria.</t>
        </is>
      </c>
    </row>
    <row r="7" ht="28.05" customHeight="1" s="27">
      <c r="B7" s="3" t="inlineStr">
        <is>
          <t>FONTE PRIMÁRIA</t>
        </is>
      </c>
      <c r="C7" s="21" t="inlineStr">
        <is>
          <t>Apontamento manual existente (formulário IMPAKTTO) → digitalizado via OCR Claude Vision na aba 4_APONTAMENTO_HIST.</t>
        </is>
      </c>
    </row>
    <row r="8" ht="28.05" customHeight="1" s="27">
      <c r="B8" s="3" t="inlineStr">
        <is>
          <t>FONTES SECUNDÁRIAS</t>
        </is>
      </c>
      <c r="C8" s="21" t="inlineStr">
        <is>
          <t>5_COLETA_CRONO (cronometragem de calibração) e 6_COLETA_AMOSTRAGEM (work sampling).</t>
        </is>
      </c>
    </row>
    <row r="10" ht="17.4" customHeight="1" s="27">
      <c r="B10" s="44" t="inlineStr">
        <is>
          <t>FLUXO METODOLÓGICO</t>
        </is>
      </c>
    </row>
    <row r="12">
      <c r="B12" s="5" t="inlineStr">
        <is>
          <t>1</t>
        </is>
      </c>
      <c r="C12" s="23" t="inlineStr">
        <is>
          <t>Preencher 3_CADASTROS (máquinas, operadores, peças, códigos parada, turnos).</t>
        </is>
      </c>
    </row>
    <row r="13" ht="28.8" customHeight="1" s="27">
      <c r="B13" s="7" t="inlineStr">
        <is>
          <t>2</t>
        </is>
      </c>
      <c r="C13" s="21" t="inlineStr">
        <is>
          <t>Importar histórico do formulário IMPAKTTO via OCR → 4_APONTAMENTO_HIST (60 dias).</t>
        </is>
      </c>
    </row>
    <row r="14">
      <c r="B14" s="5" t="inlineStr">
        <is>
          <t>3</t>
        </is>
      </c>
      <c r="C14" s="23" t="inlineStr">
        <is>
          <t>Cronometrar peças Pareto (5–8 peças, 10 ciclos cada) → 5_COLETA_CRONO.</t>
        </is>
      </c>
    </row>
    <row r="15">
      <c r="B15" s="7" t="inlineStr">
        <is>
          <t>4</t>
        </is>
      </c>
      <c r="C15" s="21" t="inlineStr">
        <is>
          <t>Amostragem do trabalho (~400 obs/máquina) → 6_COLETA_AMOSTRAGEM.</t>
        </is>
      </c>
    </row>
    <row r="16">
      <c r="B16" s="5" t="inlineStr">
        <is>
          <t>5</t>
        </is>
      </c>
      <c r="C16" s="23" t="inlineStr">
        <is>
          <t>TP gerado em 7_TEMPOS_PADRAO consolida 5 + valida com 4.</t>
        </is>
      </c>
    </row>
    <row r="17">
      <c r="B17" s="7" t="inlineStr">
        <is>
          <t>6</t>
        </is>
      </c>
      <c r="C17" s="21" t="inlineStr">
        <is>
          <t>8_CARGA_MAQUINA: capacidade × demanda × ocupação real.</t>
        </is>
      </c>
    </row>
    <row r="18">
      <c r="B18" s="5" t="inlineStr">
        <is>
          <t>7</t>
        </is>
      </c>
      <c r="C18" s="23" t="inlineStr">
        <is>
          <t>9_PRODUTIVIDADE: matriz Operador × Máquina × Peça + Fator de Apontamento.</t>
        </is>
      </c>
    </row>
    <row r="19">
      <c r="B19" s="7" t="inlineStr">
        <is>
          <t>8</t>
        </is>
      </c>
      <c r="C19" s="21" t="inlineStr">
        <is>
          <t>1_DASHBOARD atualiza automaticamente; revisar e validar com cliente.</t>
        </is>
      </c>
    </row>
    <row r="20">
      <c r="B20" s="5" t="inlineStr">
        <is>
          <t>9</t>
        </is>
      </c>
      <c r="C20" s="23" t="inlineStr">
        <is>
          <t>10_PLANO_MELHORIA: priorizar ações por impacto/esforço.</t>
        </is>
      </c>
    </row>
    <row r="23" ht="17.4" customHeight="1" s="27">
      <c r="B23" s="44" t="inlineStr">
        <is>
          <t>REGRAS</t>
        </is>
      </c>
    </row>
    <row r="24">
      <c r="B24" s="7" t="inlineStr">
        <is>
          <t>•</t>
        </is>
      </c>
      <c r="C24" s="21" t="inlineStr">
        <is>
          <t>Tempos sempre em MINUTOS decimais (7,5 = 7 min 30 s).</t>
        </is>
      </c>
    </row>
    <row r="25">
      <c r="B25" s="7" t="inlineStr">
        <is>
          <t>•</t>
        </is>
      </c>
      <c r="C25" s="21" t="inlineStr">
        <is>
          <t>Datas DD/MM/AAAA.</t>
        </is>
      </c>
    </row>
    <row r="26">
      <c r="B26" s="7" t="inlineStr">
        <is>
          <t>•</t>
        </is>
      </c>
      <c r="C26" s="21" t="inlineStr">
        <is>
          <t>Códigos de parada padronizados pela aba 3 (lista P01..Pxx).</t>
        </is>
      </c>
    </row>
    <row r="27">
      <c r="B27" s="7" t="inlineStr">
        <is>
          <t>•</t>
        </is>
      </c>
      <c r="C27" s="21" t="inlineStr">
        <is>
          <t>Coluna AUDIT em 4 obrigatória antes de entrar em análise (OK / AJ / ??).</t>
        </is>
      </c>
    </row>
    <row r="28">
      <c r="B28" s="7" t="inlineStr">
        <is>
          <t>•</t>
        </is>
      </c>
      <c r="C28" s="21" t="inlineStr">
        <is>
          <t>Auditoria amostral 10% das linhas digitalizadas.</t>
        </is>
      </c>
    </row>
    <row r="29">
      <c r="B29" s="7" t="inlineStr">
        <is>
          <t>•</t>
        </is>
      </c>
      <c r="C29" s="21" t="inlineStr">
        <is>
          <t>Nunca apagar cadastro com vínculo ativo — usar coluna ATIVO=N.</t>
        </is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selection activeCell="B73" sqref="B73"/>
    </sheetView>
  </sheetViews>
  <sheetFormatPr baseColWidth="8" defaultRowHeight="14.4"/>
  <cols>
    <col width="16" customWidth="1" style="27" min="1" max="1"/>
    <col width="28" customWidth="1" style="27" min="2" max="2"/>
    <col width="16" customWidth="1" style="27" min="3" max="7"/>
    <col width="28" customWidth="1" style="27" min="8" max="8"/>
  </cols>
  <sheetData>
    <row r="1" ht="25.8" customHeight="1" s="27">
      <c r="A1" s="42" t="inlineStr">
        <is>
          <t>CADASTROS</t>
        </is>
      </c>
    </row>
    <row r="2" ht="3" customHeight="1" s="27">
      <c r="A2" s="2" t="n"/>
      <c r="B2" s="2" t="n"/>
      <c r="C2" s="2" t="n"/>
      <c r="D2" s="2" t="n"/>
      <c r="E2" s="2" t="n"/>
      <c r="F2" s="2" t="n"/>
      <c r="G2" s="2" t="n"/>
      <c r="H2" s="2" t="n"/>
    </row>
    <row r="4" ht="17.4" customHeight="1" s="27">
      <c r="A4" s="44" t="inlineStr">
        <is>
          <t>MÁQUINAS</t>
        </is>
      </c>
    </row>
    <row r="5" ht="28.05" customHeight="1" s="27">
      <c r="A5" s="14" t="inlineStr">
        <is>
          <t>COD_MAQ</t>
        </is>
      </c>
      <c r="B5" s="14" t="inlineStr">
        <is>
          <t>NOME</t>
        </is>
      </c>
      <c r="C5" s="14" t="inlineStr">
        <is>
          <t>TIPO</t>
        </is>
      </c>
      <c r="D5" s="14" t="inlineStr">
        <is>
          <t>CÉLULA</t>
        </is>
      </c>
      <c r="E5" s="14" t="inlineStr">
        <is>
          <t>EIXOS</t>
        </is>
      </c>
      <c r="F5" s="14" t="inlineStr">
        <is>
          <t>HORAS_DIA</t>
        </is>
      </c>
      <c r="G5" s="14" t="inlineStr">
        <is>
          <t>TURNOS</t>
        </is>
      </c>
      <c r="H5" s="14" t="inlineStr">
        <is>
          <t>ATIVO</t>
        </is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20" ht="17.4" customHeight="1" s="27">
      <c r="A20" s="44" t="inlineStr">
        <is>
          <t>OPERADORES</t>
        </is>
      </c>
    </row>
    <row r="21" ht="28.05" customHeight="1" s="27">
      <c r="A21" s="14" t="inlineStr">
        <is>
          <t>COD_OP</t>
        </is>
      </c>
      <c r="B21" s="14" t="inlineStr">
        <is>
          <t>NOME</t>
        </is>
      </c>
      <c r="C21" s="14" t="inlineStr">
        <is>
          <t>FUNÇÃO</t>
        </is>
      </c>
      <c r="D21" s="14" t="inlineStr">
        <is>
          <t>TURNO</t>
        </is>
      </c>
      <c r="E21" s="14" t="inlineStr">
        <is>
          <t>ADMISSÃO</t>
        </is>
      </c>
      <c r="F21" s="14" t="inlineStr">
        <is>
          <t>MAQ_PRIM</t>
        </is>
      </c>
      <c r="G21" s="14" t="inlineStr">
        <is>
          <t>ATIVO</t>
        </is>
      </c>
      <c r="H21" s="14" t="inlineStr">
        <is>
          <t>OBS</t>
        </is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2" ht="17.4" customHeight="1" s="27">
      <c r="A42" s="44" t="inlineStr">
        <is>
          <t>PEÇAS</t>
        </is>
      </c>
    </row>
    <row r="43" ht="28.05" customHeight="1" s="27">
      <c r="A43" s="14" t="inlineStr">
        <is>
          <t>COD_PECA</t>
        </is>
      </c>
      <c r="B43" s="14" t="inlineStr">
        <is>
          <t>DESCRIÇÃO</t>
        </is>
      </c>
      <c r="C43" s="14" t="inlineStr">
        <is>
          <t>CLIENTE</t>
        </is>
      </c>
      <c r="D43" s="14" t="inlineStr">
        <is>
          <t>MATERIAL</t>
        </is>
      </c>
      <c r="E43" s="14" t="inlineStr">
        <is>
          <t>PESO_KG</t>
        </is>
      </c>
      <c r="F43" s="14" t="inlineStr">
        <is>
          <t>MAQ_PRINC</t>
        </is>
      </c>
      <c r="G43" s="14" t="inlineStr">
        <is>
          <t>N_PROG</t>
        </is>
      </c>
      <c r="H43" s="14" t="inlineStr">
        <is>
          <t>ATIVO</t>
        </is>
      </c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</row>
    <row r="71" ht="17.4" customHeight="1" s="27">
      <c r="A71" s="44" t="inlineStr">
        <is>
          <t>CÓDIGOS DE PARADA</t>
        </is>
      </c>
    </row>
    <row r="72" ht="28.05" customHeight="1" s="27">
      <c r="A72" s="14" t="inlineStr">
        <is>
          <t>CÓDIGO</t>
        </is>
      </c>
      <c r="B72" s="14" t="inlineStr">
        <is>
          <t>DESCRIÇÃO</t>
        </is>
      </c>
      <c r="C72" s="14" t="inlineStr">
        <is>
          <t>CATEGORIA</t>
        </is>
      </c>
      <c r="D72" s="14" t="inlineStr">
        <is>
          <t>EVITÁVEL</t>
        </is>
      </c>
      <c r="E72" s="14" t="inlineStr">
        <is>
          <t>RESPONSÁVEL</t>
        </is>
      </c>
      <c r="F72" s="14" t="inlineStr">
        <is>
          <t>OBS</t>
        </is>
      </c>
      <c r="G72" s="14" t="n"/>
      <c r="H72" s="14" t="n"/>
    </row>
    <row r="73">
      <c r="A73" s="13" t="inlineStr">
        <is>
          <t>P01</t>
        </is>
      </c>
      <c r="B73" s="13" t="inlineStr">
        <is>
          <t>(confirmar com IMPAKTTO)</t>
        </is>
      </c>
      <c r="C73" s="13" t="inlineStr">
        <is>
          <t>?</t>
        </is>
      </c>
      <c r="D73" s="13" t="inlineStr">
        <is>
          <t>?</t>
        </is>
      </c>
      <c r="E73" s="13" t="inlineStr">
        <is>
          <t>?</t>
        </is>
      </c>
      <c r="F73" s="13" t="n"/>
      <c r="G73" s="13" t="n"/>
      <c r="H73" s="13" t="n"/>
    </row>
    <row r="74">
      <c r="A74" s="15" t="inlineStr">
        <is>
          <t>P07</t>
        </is>
      </c>
      <c r="B74" s="15" t="inlineStr">
        <is>
          <t>(confirmar com IMPAKTTO)</t>
        </is>
      </c>
      <c r="C74" s="15" t="inlineStr">
        <is>
          <t>?</t>
        </is>
      </c>
      <c r="D74" s="15" t="inlineStr">
        <is>
          <t>?</t>
        </is>
      </c>
      <c r="E74" s="15" t="inlineStr">
        <is>
          <t>?</t>
        </is>
      </c>
      <c r="F74" s="15" t="n"/>
      <c r="G74" s="15" t="n"/>
      <c r="H74" s="15" t="n"/>
    </row>
    <row r="75">
      <c r="A75" s="13" t="inlineStr">
        <is>
          <t>P11</t>
        </is>
      </c>
      <c r="B75" s="13" t="inlineStr">
        <is>
          <t>(confirmar com IMPAKTTO)</t>
        </is>
      </c>
      <c r="C75" s="13" t="inlineStr">
        <is>
          <t>?</t>
        </is>
      </c>
      <c r="D75" s="13" t="inlineStr">
        <is>
          <t>?</t>
        </is>
      </c>
      <c r="E75" s="13" t="inlineStr">
        <is>
          <t>?</t>
        </is>
      </c>
      <c r="F75" s="13" t="n"/>
      <c r="G75" s="13" t="n"/>
      <c r="H75" s="13" t="n"/>
    </row>
    <row r="76">
      <c r="A76" s="15" t="inlineStr">
        <is>
          <t>P16</t>
        </is>
      </c>
      <c r="B76" s="15" t="inlineStr">
        <is>
          <t>(confirmar com IMPAKTTO)</t>
        </is>
      </c>
      <c r="C76" s="15" t="inlineStr">
        <is>
          <t>?</t>
        </is>
      </c>
      <c r="D76" s="15" t="inlineStr">
        <is>
          <t>?</t>
        </is>
      </c>
      <c r="E76" s="15" t="inlineStr">
        <is>
          <t>?</t>
        </is>
      </c>
      <c r="F76" s="15" t="n"/>
      <c r="G76" s="15" t="n"/>
      <c r="H76" s="15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</row>
    <row r="90" ht="17.4" customHeight="1" s="27">
      <c r="A90" s="44" t="inlineStr">
        <is>
          <t>TURNOS</t>
        </is>
      </c>
    </row>
    <row r="91" ht="28.05" customHeight="1" s="27">
      <c r="A91" s="14" t="inlineStr">
        <is>
          <t>TURNO</t>
        </is>
      </c>
      <c r="B91" s="14" t="inlineStr">
        <is>
          <t>INÍCIO</t>
        </is>
      </c>
      <c r="C91" s="14" t="inlineStr">
        <is>
          <t>FIM</t>
        </is>
      </c>
      <c r="D91" s="14" t="inlineStr">
        <is>
          <t>INTERVALO_MIN</t>
        </is>
      </c>
      <c r="E91" s="14" t="inlineStr">
        <is>
          <t>DIAS</t>
        </is>
      </c>
      <c r="F91" s="14" t="inlineStr">
        <is>
          <t>HORAS_LIQ</t>
        </is>
      </c>
      <c r="G91" s="14" t="n"/>
      <c r="H91" s="14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</sheetData>
  <mergeCells count="6">
    <mergeCell ref="A4:H4"/>
    <mergeCell ref="A20:H20"/>
    <mergeCell ref="A71:H71"/>
    <mergeCell ref="A42:H42"/>
    <mergeCell ref="A90:H9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workbookViewId="0">
      <pane ySplit="3" topLeftCell="A4" activePane="bottomLeft" state="frozen"/>
      <selection pane="bottomLeft" activeCell="P17" sqref="P17"/>
    </sheetView>
  </sheetViews>
  <sheetFormatPr baseColWidth="8" defaultRowHeight="14.4"/>
  <cols>
    <col width="11" customWidth="1" style="27" min="1" max="1"/>
    <col width="14" customWidth="1" style="27" min="2" max="2"/>
    <col width="12" customWidth="1" style="27" min="3" max="4"/>
    <col width="30" customWidth="1" style="27" min="5" max="5"/>
    <col width="10" customWidth="1" style="27" min="6" max="8"/>
    <col width="9" customWidth="1" style="27" min="9" max="10"/>
    <col width="11" customWidth="1" style="27" min="11" max="11"/>
    <col width="8" customWidth="1" style="27" min="12" max="12"/>
    <col width="11" customWidth="1" style="27" min="13" max="13"/>
    <col width="12" customWidth="1" style="27" min="14" max="14"/>
    <col width="14" customWidth="1" style="27" min="15" max="15"/>
    <col width="18" bestFit="1" customWidth="1" style="27" min="16" max="16"/>
    <col width="8" customWidth="1" style="27" min="17" max="17"/>
  </cols>
  <sheetData>
    <row r="1" ht="21" customHeight="1" s="27">
      <c r="A1" s="45" t="inlineStr">
        <is>
          <t>APONTAMENTO HISTÓRICO (OCR formulário IMPAKTTO)</t>
        </is>
      </c>
    </row>
    <row r="3" ht="28.05" customHeight="1" s="27">
      <c r="A3" s="14" t="inlineStr">
        <is>
          <t>DATA</t>
        </is>
      </c>
      <c r="B3" s="14" t="inlineStr">
        <is>
          <t>CLIENTE</t>
        </is>
      </c>
      <c r="C3" s="14" t="inlineStr">
        <is>
          <t>ID_OP</t>
        </is>
      </c>
      <c r="D3" s="14" t="inlineStr">
        <is>
          <t>ITEM</t>
        </is>
      </c>
      <c r="E3" s="14" t="inlineStr">
        <is>
          <t>DESCRICAO_OP</t>
        </is>
      </c>
      <c r="F3" s="14" t="inlineStr">
        <is>
          <t>N_PROG</t>
        </is>
      </c>
      <c r="G3" s="14" t="inlineStr">
        <is>
          <t>QTD_PROD</t>
        </is>
      </c>
      <c r="H3" s="14" t="inlineStr">
        <is>
          <t>QTD_PED</t>
        </is>
      </c>
      <c r="I3" s="14" t="inlineStr">
        <is>
          <t>H_INICIO</t>
        </is>
      </c>
      <c r="J3" s="14" t="inlineStr">
        <is>
          <t>H_FIM</t>
        </is>
      </c>
      <c r="K3" s="14" t="inlineStr">
        <is>
          <t>TOTAL_MIN</t>
        </is>
      </c>
      <c r="L3" s="14" t="inlineStr">
        <is>
          <t>NC</t>
        </is>
      </c>
      <c r="M3" s="14" t="inlineStr">
        <is>
          <t>COD_PARADA</t>
        </is>
      </c>
      <c r="N3" s="14" t="inlineStr">
        <is>
          <t>T_PARADA_MIN</t>
        </is>
      </c>
      <c r="O3" s="14" t="inlineStr">
        <is>
          <t>OPERADOR</t>
        </is>
      </c>
      <c r="P3" s="14" t="inlineStr">
        <is>
          <t>MAQUINA</t>
        </is>
      </c>
      <c r="Q3" s="14" t="inlineStr">
        <is>
          <t>AUDIT</t>
        </is>
      </c>
    </row>
    <row r="4">
      <c r="A4" s="13" t="inlineStr">
        <is>
          <t>06/04/2026</t>
        </is>
      </c>
      <c r="B4" s="13" t="inlineStr">
        <is>
          <t>MATÃO</t>
        </is>
      </c>
      <c r="C4" s="13" t="n">
        <v>30809</v>
      </c>
      <c r="D4" s="13" t="inlineStr">
        <is>
          <t>2,2</t>
        </is>
      </c>
      <c r="E4" s="13" t="inlineStr">
        <is>
          <t>Avanco e face [???]</t>
        </is>
      </c>
      <c r="F4" s="13" t="n">
        <v>249</v>
      </c>
      <c r="G4" s="13" t="n">
        <v>37</v>
      </c>
      <c r="H4" s="13" t="n">
        <v>220</v>
      </c>
      <c r="I4" s="13" t="inlineStr">
        <is>
          <t>08:00</t>
        </is>
      </c>
      <c r="J4" s="13" t="inlineStr">
        <is>
          <t>17:30</t>
        </is>
      </c>
      <c r="K4" s="13" t="inlineStr">
        <is>
          <t>???</t>
        </is>
      </c>
      <c r="L4" s="13" t="inlineStr">
        <is>
          <t>00:02</t>
        </is>
      </c>
      <c r="M4" s="13" t="inlineStr">
        <is>
          <t>P07</t>
        </is>
      </c>
      <c r="N4" s="13" t="inlineStr">
        <is>
          <t>???</t>
        </is>
      </c>
      <c r="O4" s="13" t="inlineStr">
        <is>
          <t>Wendell [???]</t>
        </is>
      </c>
      <c r="P4" s="13" t="inlineStr">
        <is>
          <t>???</t>
        </is>
      </c>
      <c r="Q4" s="13" t="n"/>
    </row>
    <row r="5">
      <c r="A5" s="15" t="inlineStr">
        <is>
          <t>06/04/2026</t>
        </is>
      </c>
      <c r="B5" s="15" t="inlineStr">
        <is>
          <t>MATÃO</t>
        </is>
      </c>
      <c r="C5" s="15" t="n">
        <v>30809</v>
      </c>
      <c r="D5" s="15" t="inlineStr">
        <is>
          <t>2,2</t>
        </is>
      </c>
      <c r="E5" s="15" t="inlineStr">
        <is>
          <t>[em branco]</t>
        </is>
      </c>
      <c r="F5" s="15" t="n">
        <v>249</v>
      </c>
      <c r="G5" s="15" t="n">
        <v>97</v>
      </c>
      <c r="H5" s="15" t="n">
        <v>220</v>
      </c>
      <c r="I5" s="15" t="inlineStr">
        <is>
          <t>20:00</t>
        </is>
      </c>
      <c r="J5" s="15" t="inlineStr">
        <is>
          <t>02:30</t>
        </is>
      </c>
      <c r="K5" s="15" t="inlineStr">
        <is>
          <t>???</t>
        </is>
      </c>
      <c r="L5" s="15" t="inlineStr">
        <is>
          <t>00:00</t>
        </is>
      </c>
      <c r="M5" s="15" t="inlineStr">
        <is>
          <t>P07</t>
        </is>
      </c>
      <c r="N5" s="15" t="inlineStr">
        <is>
          <t>???</t>
        </is>
      </c>
      <c r="O5" s="15" t="inlineStr">
        <is>
          <t>???</t>
        </is>
      </c>
      <c r="P5" s="15" t="inlineStr">
        <is>
          <t>???</t>
        </is>
      </c>
      <c r="Q5" s="15" t="n"/>
    </row>
    <row r="6">
      <c r="A6" s="13" t="inlineStr">
        <is>
          <t>07/04/2026</t>
        </is>
      </c>
      <c r="B6" s="13" t="inlineStr">
        <is>
          <t>MATÃO</t>
        </is>
      </c>
      <c r="C6" s="13" t="n">
        <v>30809</v>
      </c>
      <c r="D6" s="13" t="inlineStr">
        <is>
          <t>2,2</t>
        </is>
      </c>
      <c r="E6" s="13" t="inlineStr">
        <is>
          <t>[em branco]</t>
        </is>
      </c>
      <c r="F6" s="13" t="n">
        <v>249</v>
      </c>
      <c r="G6" s="13" t="n">
        <v>50</v>
      </c>
      <c r="H6" s="13" t="n">
        <v>220</v>
      </c>
      <c r="I6" s="13" t="inlineStr">
        <is>
          <t>07:30</t>
        </is>
      </c>
      <c r="J6" s="13" t="inlineStr">
        <is>
          <t>20:00</t>
        </is>
      </c>
      <c r="K6" s="13" t="n">
        <v>720</v>
      </c>
      <c r="L6" s="13" t="inlineStr">
        <is>
          <t>01:00</t>
        </is>
      </c>
      <c r="M6" s="13" t="inlineStr">
        <is>
          <t>P07</t>
        </is>
      </c>
      <c r="N6" s="13" t="inlineStr">
        <is>
          <t>???</t>
        </is>
      </c>
      <c r="O6" s="13" t="inlineStr">
        <is>
          <t>Clayton</t>
        </is>
      </c>
      <c r="P6" s="13" t="inlineStr">
        <is>
          <t>Torno com acionada</t>
        </is>
      </c>
      <c r="Q6" s="13" t="n"/>
    </row>
    <row r="7">
      <c r="A7" s="15" t="inlineStr">
        <is>
          <t>07/04/2026</t>
        </is>
      </c>
      <c r="B7" s="15" t="inlineStr">
        <is>
          <t>MATÃO</t>
        </is>
      </c>
      <c r="C7" s="15" t="n">
        <v>31552</v>
      </c>
      <c r="D7" s="15" t="inlineStr">
        <is>
          <t>2,2</t>
        </is>
      </c>
      <c r="E7" s="15" t="inlineStr">
        <is>
          <t>Furacao e chaveta</t>
        </is>
      </c>
      <c r="F7" s="15" t="n">
        <v>249</v>
      </c>
      <c r="G7" s="15" t="n">
        <v>23</v>
      </c>
      <c r="H7" s="15" t="n">
        <v>220</v>
      </c>
      <c r="I7" s="15" t="inlineStr">
        <is>
          <t>20:00</t>
        </is>
      </c>
      <c r="J7" s="15" t="inlineStr">
        <is>
          <t>02:30</t>
        </is>
      </c>
      <c r="K7" s="15" t="n">
        <v>390</v>
      </c>
      <c r="L7" s="15" t="inlineStr">
        <is>
          <t>???</t>
        </is>
      </c>
      <c r="M7" s="15" t="inlineStr">
        <is>
          <t>P11</t>
        </is>
      </c>
      <c r="N7" s="15" t="inlineStr">
        <is>
          <t>???</t>
        </is>
      </c>
      <c r="O7" s="15" t="inlineStr">
        <is>
          <t>???</t>
        </is>
      </c>
      <c r="P7" s="15" t="inlineStr">
        <is>
          <t>???</t>
        </is>
      </c>
      <c r="Q7" s="15" t="n"/>
    </row>
    <row r="8">
      <c r="A8" s="13" t="inlineStr">
        <is>
          <t>08/04/2026</t>
        </is>
      </c>
      <c r="B8" s="13" t="inlineStr">
        <is>
          <t>MATÃO</t>
        </is>
      </c>
      <c r="C8" s="13" t="n">
        <v>31552</v>
      </c>
      <c r="D8" s="13" t="inlineStr">
        <is>
          <t>2,2</t>
        </is>
      </c>
      <c r="E8" s="13" t="inlineStr">
        <is>
          <t>[em branco]</t>
        </is>
      </c>
      <c r="F8" s="13" t="n">
        <v>249</v>
      </c>
      <c r="G8" s="13" t="n">
        <v>23</v>
      </c>
      <c r="H8" s="13" t="n">
        <v>150</v>
      </c>
      <c r="I8" s="13" t="inlineStr">
        <is>
          <t>02:30</t>
        </is>
      </c>
      <c r="J8" s="13" t="inlineStr">
        <is>
          <t>07:50</t>
        </is>
      </c>
      <c r="K8" s="13" t="n">
        <v>320</v>
      </c>
      <c r="L8" s="13" t="inlineStr">
        <is>
          <t>???</t>
        </is>
      </c>
      <c r="M8" s="13" t="inlineStr">
        <is>
          <t>???</t>
        </is>
      </c>
      <c r="N8" s="13" t="inlineStr">
        <is>
          <t>???</t>
        </is>
      </c>
      <c r="O8" s="13" t="inlineStr">
        <is>
          <t>???</t>
        </is>
      </c>
      <c r="P8" s="13" t="inlineStr">
        <is>
          <t>???</t>
        </is>
      </c>
      <c r="Q8" s="13" t="n"/>
    </row>
    <row r="9">
      <c r="A9" s="15" t="inlineStr">
        <is>
          <t>08/04/2026</t>
        </is>
      </c>
      <c r="B9" s="15" t="inlineStr">
        <is>
          <t>MATÃO</t>
        </is>
      </c>
      <c r="C9" s="15" t="n">
        <v>31552</v>
      </c>
      <c r="D9" s="15" t="inlineStr">
        <is>
          <t>2,2</t>
        </is>
      </c>
      <c r="E9" s="15" t="inlineStr">
        <is>
          <t>Furacao e chaveta</t>
        </is>
      </c>
      <c r="F9" s="15" t="n">
        <v>249</v>
      </c>
      <c r="G9" s="15" t="n">
        <v>14</v>
      </c>
      <c r="H9" s="15" t="n">
        <v>150</v>
      </c>
      <c r="I9" s="15" t="inlineStr">
        <is>
          <t>07:50</t>
        </is>
      </c>
      <c r="J9" s="15" t="inlineStr">
        <is>
          <t>11:40</t>
        </is>
      </c>
      <c r="K9" s="15" t="n">
        <v>230</v>
      </c>
      <c r="L9" s="15" t="inlineStr">
        <is>
          <t>???</t>
        </is>
      </c>
      <c r="M9" s="15" t="inlineStr">
        <is>
          <t>P01</t>
        </is>
      </c>
      <c r="N9" s="15" t="inlineStr">
        <is>
          <t>???</t>
        </is>
      </c>
      <c r="O9" s="15" t="inlineStr">
        <is>
          <t>Wendell [???]</t>
        </is>
      </c>
      <c r="P9" s="15" t="inlineStr">
        <is>
          <t>Centro</t>
        </is>
      </c>
      <c r="Q9" s="15" t="n"/>
    </row>
    <row r="10">
      <c r="A10" s="13" t="inlineStr">
        <is>
          <t>08/04/2026</t>
        </is>
      </c>
      <c r="B10" s="13" t="inlineStr">
        <is>
          <t>MATÃO</t>
        </is>
      </c>
      <c r="C10" s="13" t="n">
        <v>31552</v>
      </c>
      <c r="D10" s="13" t="inlineStr">
        <is>
          <t>2,2</t>
        </is>
      </c>
      <c r="E10" s="13" t="inlineStr">
        <is>
          <t>Furacao e chaveta</t>
        </is>
      </c>
      <c r="F10" s="13" t="n">
        <v>249</v>
      </c>
      <c r="G10" s="13" t="n">
        <v>10</v>
      </c>
      <c r="H10" s="13" t="n">
        <v>150</v>
      </c>
      <c r="I10" s="13" t="inlineStr">
        <is>
          <t>17:40</t>
        </is>
      </c>
      <c r="J10" s="13" t="inlineStr">
        <is>
          <t>16:20</t>
        </is>
      </c>
      <c r="K10" s="13" t="inlineStr">
        <is>
          <t>???</t>
        </is>
      </c>
      <c r="L10" s="13" t="inlineStr">
        <is>
          <t>???</t>
        </is>
      </c>
      <c r="M10" s="13" t="inlineStr">
        <is>
          <t>P01</t>
        </is>
      </c>
      <c r="N10" s="13" t="inlineStr">
        <is>
          <t>???</t>
        </is>
      </c>
      <c r="O10" s="13" t="inlineStr">
        <is>
          <t>Clayton</t>
        </is>
      </c>
      <c r="P10" s="13" t="inlineStr">
        <is>
          <t>Torno com acionada</t>
        </is>
      </c>
      <c r="Q10" s="13" t="n"/>
    </row>
    <row r="11">
      <c r="A11" s="15" t="inlineStr">
        <is>
          <t>09/04/2026</t>
        </is>
      </c>
      <c r="B11" s="15" t="inlineStr">
        <is>
          <t>MATÃO</t>
        </is>
      </c>
      <c r="C11" s="15" t="n">
        <v>31552</v>
      </c>
      <c r="D11" s="15" t="inlineStr">
        <is>
          <t>2,2</t>
        </is>
      </c>
      <c r="E11" s="15" t="inlineStr">
        <is>
          <t>Furacao e chaveta</t>
        </is>
      </c>
      <c r="F11" s="15" t="n">
        <v>249</v>
      </c>
      <c r="G11" s="15" t="n">
        <v>9</v>
      </c>
      <c r="H11" s="15" t="n">
        <v>150</v>
      </c>
      <c r="I11" s="15" t="inlineStr">
        <is>
          <t>17:15</t>
        </is>
      </c>
      <c r="J11" s="15" t="inlineStr">
        <is>
          <t>19:30</t>
        </is>
      </c>
      <c r="K11" s="15" t="n">
        <v>135</v>
      </c>
      <c r="L11" s="15" t="inlineStr">
        <is>
          <t>???</t>
        </is>
      </c>
      <c r="M11" s="15" t="inlineStr">
        <is>
          <t>???</t>
        </is>
      </c>
      <c r="N11" s="15" t="inlineStr">
        <is>
          <t>???</t>
        </is>
      </c>
      <c r="O11" s="15" t="inlineStr">
        <is>
          <t>Wendell [???]</t>
        </is>
      </c>
      <c r="P11" s="15" t="inlineStr">
        <is>
          <t>Centro</t>
        </is>
      </c>
      <c r="Q11" s="15" t="n"/>
    </row>
    <row r="12">
      <c r="A12" s="13" t="inlineStr">
        <is>
          <t>09/04/2026</t>
        </is>
      </c>
      <c r="B12" s="13" t="inlineStr">
        <is>
          <t>MATÃO</t>
        </is>
      </c>
      <c r="C12" s="13" t="n">
        <v>31552</v>
      </c>
      <c r="D12" s="13" t="inlineStr">
        <is>
          <t>2,2</t>
        </is>
      </c>
      <c r="E12" s="13" t="inlineStr">
        <is>
          <t>Furacao e chaveta</t>
        </is>
      </c>
      <c r="F12" s="13" t="n">
        <v>249</v>
      </c>
      <c r="G12" s="13" t="n">
        <v>44</v>
      </c>
      <c r="H12" s="13" t="n">
        <v>150</v>
      </c>
      <c r="I12" s="13" t="inlineStr">
        <is>
          <t>08:00</t>
        </is>
      </c>
      <c r="J12" s="13" t="inlineStr">
        <is>
          <t>19:30</t>
        </is>
      </c>
      <c r="K12" s="13" t="n">
        <v>690</v>
      </c>
      <c r="L12" s="13" t="inlineStr">
        <is>
          <t>???</t>
        </is>
      </c>
      <c r="M12" s="13" t="inlineStr">
        <is>
          <t>P07</t>
        </is>
      </c>
      <c r="N12" s="13" t="inlineStr">
        <is>
          <t>???</t>
        </is>
      </c>
      <c r="O12" s="13" t="inlineStr">
        <is>
          <t>Clayton</t>
        </is>
      </c>
      <c r="P12" s="13" t="inlineStr">
        <is>
          <t>Torno com acionada</t>
        </is>
      </c>
      <c r="Q12" s="13" t="n"/>
    </row>
    <row r="13">
      <c r="A13" s="15" t="inlineStr">
        <is>
          <t>09/04/2026</t>
        </is>
      </c>
      <c r="B13" s="15" t="inlineStr">
        <is>
          <t>MATÃO</t>
        </is>
      </c>
      <c r="C13" s="15" t="n">
        <v>31652</v>
      </c>
      <c r="D13" s="15" t="inlineStr">
        <is>
          <t>2,3</t>
        </is>
      </c>
      <c r="E13" s="15" t="inlineStr">
        <is>
          <t>Furacao e Chaveta</t>
        </is>
      </c>
      <c r="F13" s="15" t="n">
        <v>249</v>
      </c>
      <c r="G13" s="15" t="n">
        <v>5</v>
      </c>
      <c r="H13" s="15" t="n">
        <v>150</v>
      </c>
      <c r="I13" s="15" t="inlineStr">
        <is>
          <t>08:00</t>
        </is>
      </c>
      <c r="J13" s="15" t="inlineStr">
        <is>
          <t>19:30</t>
        </is>
      </c>
      <c r="K13" s="15" t="n">
        <v>690</v>
      </c>
      <c r="L13" s="15" t="inlineStr">
        <is>
          <t>???</t>
        </is>
      </c>
      <c r="M13" s="15" t="inlineStr">
        <is>
          <t>P16</t>
        </is>
      </c>
      <c r="N13" s="15" t="inlineStr">
        <is>
          <t>???</t>
        </is>
      </c>
      <c r="O13" s="15" t="inlineStr">
        <is>
          <t>???</t>
        </is>
      </c>
      <c r="P13" s="15" t="inlineStr">
        <is>
          <t>???</t>
        </is>
      </c>
      <c r="Q13" s="15" t="n"/>
    </row>
    <row r="14">
      <c r="A14" s="13" t="inlineStr">
        <is>
          <t>10/04/2026</t>
        </is>
      </c>
      <c r="B14" s="13" t="inlineStr">
        <is>
          <t>MATÃO</t>
        </is>
      </c>
      <c r="C14" s="13" t="n">
        <v>31552</v>
      </c>
      <c r="D14" s="13" t="inlineStr">
        <is>
          <t>1,2</t>
        </is>
      </c>
      <c r="E14" s="13" t="inlineStr">
        <is>
          <t>Furacao e Chaveta</t>
        </is>
      </c>
      <c r="F14" s="13" t="n">
        <v>249</v>
      </c>
      <c r="G14" s="13" t="n">
        <v>30</v>
      </c>
      <c r="H14" s="13" t="n">
        <v>150</v>
      </c>
      <c r="I14" s="13" t="inlineStr">
        <is>
          <t>23:00</t>
        </is>
      </c>
      <c r="J14" s="13" t="inlineStr">
        <is>
          <t>07:00</t>
        </is>
      </c>
      <c r="K14" s="13" t="n">
        <v>480</v>
      </c>
      <c r="L14" s="13" t="inlineStr">
        <is>
          <t>???</t>
        </is>
      </c>
      <c r="M14" s="13" t="inlineStr">
        <is>
          <t>P07</t>
        </is>
      </c>
      <c r="N14" s="13" t="inlineStr">
        <is>
          <t>???</t>
        </is>
      </c>
      <c r="O14" s="13" t="inlineStr">
        <is>
          <t>Vanildo</t>
        </is>
      </c>
      <c r="P14" s="13" t="inlineStr">
        <is>
          <t>Centro</t>
        </is>
      </c>
      <c r="Q14" s="13" t="n"/>
    </row>
    <row r="15">
      <c r="A15" s="15" t="inlineStr">
        <is>
          <t>10/04/2026</t>
        </is>
      </c>
      <c r="B15" s="15" t="inlineStr">
        <is>
          <t>MATÃO</t>
        </is>
      </c>
      <c r="C15" s="15" t="n">
        <v>31552</v>
      </c>
      <c r="D15" s="15" t="inlineStr">
        <is>
          <t>1,2</t>
        </is>
      </c>
      <c r="E15" s="15" t="inlineStr">
        <is>
          <t>Furacao e chaveta</t>
        </is>
      </c>
      <c r="F15" s="15" t="n">
        <v>175</v>
      </c>
      <c r="G15" s="15" t="n">
        <v>24</v>
      </c>
      <c r="H15" s="15" t="n">
        <v>100</v>
      </c>
      <c r="I15" s="15" t="inlineStr">
        <is>
          <t>09:30</t>
        </is>
      </c>
      <c r="J15" s="15" t="inlineStr">
        <is>
          <t>16:20</t>
        </is>
      </c>
      <c r="K15" s="15" t="n">
        <v>410</v>
      </c>
      <c r="L15" s="15" t="inlineStr">
        <is>
          <t>???</t>
        </is>
      </c>
      <c r="M15" s="15" t="inlineStr">
        <is>
          <t>87 [???]</t>
        </is>
      </c>
      <c r="N15" s="15" t="inlineStr">
        <is>
          <t>???</t>
        </is>
      </c>
      <c r="O15" s="15" t="inlineStr">
        <is>
          <t>Danilo [???]</t>
        </is>
      </c>
      <c r="P15" s="15" t="inlineStr">
        <is>
          <t>Centro</t>
        </is>
      </c>
      <c r="Q15" s="15" t="n"/>
    </row>
    <row r="16">
      <c r="A16" s="13" t="inlineStr">
        <is>
          <t>11/04/2026</t>
        </is>
      </c>
      <c r="B16" s="13" t="inlineStr">
        <is>
          <t>MATÃO</t>
        </is>
      </c>
      <c r="C16" s="13" t="n">
        <v>31552</v>
      </c>
      <c r="D16" s="13" t="inlineStr">
        <is>
          <t>1,2</t>
        </is>
      </c>
      <c r="E16" s="13" t="inlineStr">
        <is>
          <t>Furacao e Chaveta</t>
        </is>
      </c>
      <c r="F16" s="13" t="n">
        <v>175</v>
      </c>
      <c r="G16" s="13" t="n">
        <v>16</v>
      </c>
      <c r="H16" s="13" t="n">
        <v>100</v>
      </c>
      <c r="I16" s="13" t="inlineStr">
        <is>
          <t>20:30</t>
        </is>
      </c>
      <c r="J16" s="13" t="inlineStr">
        <is>
          <t>04:40</t>
        </is>
      </c>
      <c r="K16" s="13" t="n">
        <v>490</v>
      </c>
      <c r="L16" s="13" t="inlineStr">
        <is>
          <t>???</t>
        </is>
      </c>
      <c r="M16" s="13" t="inlineStr">
        <is>
          <t>P07</t>
        </is>
      </c>
      <c r="N16" s="13" t="inlineStr">
        <is>
          <t>???</t>
        </is>
      </c>
      <c r="O16" s="13" t="inlineStr">
        <is>
          <t>Vita [???]</t>
        </is>
      </c>
      <c r="P16" s="13" t="inlineStr">
        <is>
          <t>Centro</t>
        </is>
      </c>
      <c r="Q16" s="13" t="n"/>
    </row>
    <row r="17">
      <c r="A17" s="15" t="inlineStr">
        <is>
          <t>13/04/2026</t>
        </is>
      </c>
      <c r="B17" s="15" t="inlineStr">
        <is>
          <t>MATÃO</t>
        </is>
      </c>
      <c r="C17" s="15" t="n">
        <v>31552</v>
      </c>
      <c r="D17" s="15" t="inlineStr">
        <is>
          <t>1,4</t>
        </is>
      </c>
      <c r="E17" s="15" t="inlineStr">
        <is>
          <t>Furacao e chaveta</t>
        </is>
      </c>
      <c r="F17" s="15" t="n">
        <v>175</v>
      </c>
      <c r="G17" s="15" t="n">
        <v>23</v>
      </c>
      <c r="H17" s="15" t="n">
        <v>100</v>
      </c>
      <c r="I17" s="15" t="inlineStr">
        <is>
          <t>07:30</t>
        </is>
      </c>
      <c r="J17" s="15" t="inlineStr">
        <is>
          <t>???</t>
        </is>
      </c>
      <c r="K17" s="15" t="inlineStr">
        <is>
          <t>???</t>
        </is>
      </c>
      <c r="L17" s="15" t="inlineStr">
        <is>
          <t>???</t>
        </is>
      </c>
      <c r="M17" s="15" t="inlineStr">
        <is>
          <t>???</t>
        </is>
      </c>
      <c r="N17" s="15" t="inlineStr">
        <is>
          <t>???</t>
        </is>
      </c>
      <c r="O17" s="15" t="inlineStr">
        <is>
          <t>Clayton</t>
        </is>
      </c>
      <c r="P17" s="15" t="inlineStr">
        <is>
          <t>Torno com acionada</t>
        </is>
      </c>
      <c r="Q17" s="15" t="n"/>
    </row>
    <row r="18">
      <c r="A18" s="13" t="inlineStr">
        <is>
          <t>15/04/2026</t>
        </is>
      </c>
      <c r="B18" s="13" t="inlineStr">
        <is>
          <t>rod</t>
        </is>
      </c>
      <c r="C18" s="13" t="inlineStr">
        <is>
          <t>teste</t>
        </is>
      </c>
      <c r="D18" s="13" t="inlineStr">
        <is>
          <t>???</t>
        </is>
      </c>
      <c r="E18" s="13" t="inlineStr">
        <is>
          <t>Furacao e chaveta</t>
        </is>
      </c>
      <c r="F18" s="13" t="n">
        <v>175</v>
      </c>
      <c r="G18" s="13" t="n">
        <v>37</v>
      </c>
      <c r="H18" s="13" t="n">
        <v>100</v>
      </c>
      <c r="I18" s="13" t="inlineStr">
        <is>
          <t>07:40</t>
        </is>
      </c>
      <c r="J18" s="13" t="inlineStr">
        <is>
          <t>19:00</t>
        </is>
      </c>
      <c r="K18" s="13" t="n">
        <v>680</v>
      </c>
      <c r="L18" s="13" t="inlineStr">
        <is>
          <t>???</t>
        </is>
      </c>
      <c r="M18" s="13" t="inlineStr">
        <is>
          <t>P07</t>
        </is>
      </c>
      <c r="N18" s="13" t="inlineStr">
        <is>
          <t>???</t>
        </is>
      </c>
      <c r="O18" s="13" t="inlineStr">
        <is>
          <t>Clayton</t>
        </is>
      </c>
      <c r="P18" s="13" t="inlineStr">
        <is>
          <t>Torno com acionada</t>
        </is>
      </c>
      <c r="Q18" s="13" t="n"/>
    </row>
    <row r="19">
      <c r="A19" s="15" t="inlineStr">
        <is>
          <t>15/04/2026</t>
        </is>
      </c>
      <c r="B19" s="15" t="inlineStr">
        <is>
          <t>MATÃO</t>
        </is>
      </c>
      <c r="C19" s="15" t="n">
        <v>31553</v>
      </c>
      <c r="D19" s="15" t="inlineStr">
        <is>
          <t>1,1</t>
        </is>
      </c>
      <c r="E19" s="15" t="inlineStr">
        <is>
          <t>Furacao e chaveta</t>
        </is>
      </c>
      <c r="F19" s="15" t="n">
        <v>525</v>
      </c>
      <c r="G19" s="15" t="n">
        <v>5</v>
      </c>
      <c r="H19" s="15" t="n">
        <v>5</v>
      </c>
      <c r="I19" s="15" t="inlineStr">
        <is>
          <t>08:30</t>
        </is>
      </c>
      <c r="J19" s="15" t="inlineStr">
        <is>
          <t>11:40</t>
        </is>
      </c>
      <c r="K19" s="15" t="n">
        <v>190</v>
      </c>
      <c r="L19" s="15" t="inlineStr">
        <is>
          <t>???</t>
        </is>
      </c>
      <c r="M19" s="15" t="inlineStr">
        <is>
          <t>???</t>
        </is>
      </c>
      <c r="N19" s="15" t="inlineStr">
        <is>
          <t>???</t>
        </is>
      </c>
      <c r="O19" s="15" t="inlineStr">
        <is>
          <t>Wendell [???]</t>
        </is>
      </c>
      <c r="P19" s="15" t="inlineStr">
        <is>
          <t>???</t>
        </is>
      </c>
      <c r="Q19" s="15" t="n"/>
    </row>
    <row r="20">
      <c r="A20" s="13" t="inlineStr">
        <is>
          <t>15/04/2026</t>
        </is>
      </c>
      <c r="B20" s="13" t="inlineStr">
        <is>
          <t>MATÃO</t>
        </is>
      </c>
      <c r="C20" s="13" t="n">
        <v>31553</v>
      </c>
      <c r="D20" s="13" t="inlineStr">
        <is>
          <t>1,2</t>
        </is>
      </c>
      <c r="E20" s="13" t="inlineStr">
        <is>
          <t>Furacao e Chaveta</t>
        </is>
      </c>
      <c r="F20" s="13" t="n">
        <v>175</v>
      </c>
      <c r="G20" s="13" t="n">
        <v>19</v>
      </c>
      <c r="H20" s="13" t="n">
        <v>80</v>
      </c>
      <c r="I20" s="13" t="inlineStr">
        <is>
          <t>11:45</t>
        </is>
      </c>
      <c r="J20" s="13" t="inlineStr">
        <is>
          <t>17:30</t>
        </is>
      </c>
      <c r="K20" s="13" t="n">
        <v>345</v>
      </c>
      <c r="L20" s="13" t="inlineStr">
        <is>
          <t>???</t>
        </is>
      </c>
      <c r="M20" s="13" t="inlineStr">
        <is>
          <t>P07</t>
        </is>
      </c>
      <c r="N20" s="13" t="inlineStr">
        <is>
          <t>???</t>
        </is>
      </c>
      <c r="O20" s="13" t="inlineStr">
        <is>
          <t>Clayton</t>
        </is>
      </c>
      <c r="P20" s="13" t="inlineStr">
        <is>
          <t>Torno com acionada</t>
        </is>
      </c>
      <c r="Q20" s="13" t="n"/>
    </row>
    <row r="21">
      <c r="A21" s="15" t="inlineStr">
        <is>
          <t>15/04/2026</t>
        </is>
      </c>
      <c r="B21" s="15" t="inlineStr">
        <is>
          <t>MATÃO</t>
        </is>
      </c>
      <c r="C21" s="15" t="n">
        <v>31553</v>
      </c>
      <c r="D21" s="15" t="inlineStr">
        <is>
          <t>1,2</t>
        </is>
      </c>
      <c r="E21" s="15" t="inlineStr">
        <is>
          <t>Furacao e Chaveta</t>
        </is>
      </c>
      <c r="F21" s="15" t="n">
        <v>175</v>
      </c>
      <c r="G21" s="15" t="n">
        <v>31</v>
      </c>
      <c r="H21" s="15" t="n">
        <v>80</v>
      </c>
      <c r="I21" s="15" t="inlineStr">
        <is>
          <t>20:15</t>
        </is>
      </c>
      <c r="J21" s="15" t="inlineStr">
        <is>
          <t>06:00</t>
        </is>
      </c>
      <c r="K21" s="15" t="n">
        <v>585</v>
      </c>
      <c r="L21" s="15" t="inlineStr">
        <is>
          <t>???</t>
        </is>
      </c>
      <c r="M21" s="15" t="inlineStr">
        <is>
          <t>P07</t>
        </is>
      </c>
      <c r="N21" s="15" t="inlineStr">
        <is>
          <t>???</t>
        </is>
      </c>
      <c r="O21" s="15" t="inlineStr">
        <is>
          <t>Vanildo</t>
        </is>
      </c>
      <c r="P21" s="15" t="inlineStr">
        <is>
          <t>???</t>
        </is>
      </c>
      <c r="Q21" s="15" t="n"/>
    </row>
    <row r="22">
      <c r="A22" s="49" t="inlineStr">
        <is>
          <t>18/04/2026</t>
        </is>
      </c>
      <c r="B22" s="49" t="inlineStr">
        <is>
          <t>matro</t>
        </is>
      </c>
      <c r="C22" s="49" t="n">
        <v>31553</v>
      </c>
      <c r="D22" s="49" t="inlineStr">
        <is>
          <t>1,4</t>
        </is>
      </c>
      <c r="E22" s="49" t="n"/>
      <c r="F22" s="49" t="n">
        <v>125</v>
      </c>
      <c r="G22" s="49" t="n">
        <v>80</v>
      </c>
      <c r="H22" s="49" t="n">
        <v>30</v>
      </c>
      <c r="I22" s="49" t="inlineStr">
        <is>
          <t>07:30</t>
        </is>
      </c>
      <c r="J22" s="49" t="inlineStr">
        <is>
          <t>15:35</t>
        </is>
      </c>
      <c r="K22" s="49" t="n"/>
      <c r="L22" s="49" t="n"/>
      <c r="M22" s="49" t="inlineStr">
        <is>
          <t>P07</t>
        </is>
      </c>
      <c r="N22" s="49" t="n"/>
      <c r="O22" s="49" t="inlineStr">
        <is>
          <t>Clayton</t>
        </is>
      </c>
      <c r="P22" s="49" t="inlineStr">
        <is>
          <t>LO-40</t>
        </is>
      </c>
      <c r="Q22" s="49" t="inlineStr">
        <is>
          <t>CCF13052026_p1</t>
        </is>
      </c>
    </row>
    <row r="23">
      <c r="A23" s="48" t="inlineStr">
        <is>
          <t>18/04/2026</t>
        </is>
      </c>
      <c r="B23" s="48" t="inlineStr">
        <is>
          <t>matro</t>
        </is>
      </c>
      <c r="C23" s="48" t="n">
        <v>31553</v>
      </c>
      <c r="D23" s="48" t="inlineStr">
        <is>
          <t>1,4</t>
        </is>
      </c>
      <c r="E23" s="48" t="n"/>
      <c r="F23" s="48" t="n">
        <v>494</v>
      </c>
      <c r="G23" s="48" t="n">
        <v>141</v>
      </c>
      <c r="H23" s="48" t="n">
        <v>141</v>
      </c>
      <c r="I23" s="48" t="n"/>
      <c r="J23" s="48" t="n"/>
      <c r="K23" s="48" t="n"/>
      <c r="L23" s="48" t="n"/>
      <c r="M23" s="48" t="n"/>
      <c r="N23" s="48" t="n"/>
      <c r="O23" s="48" t="inlineStr">
        <is>
          <t>Clayton</t>
        </is>
      </c>
      <c r="P23" s="48" t="inlineStr">
        <is>
          <t>LO-40</t>
        </is>
      </c>
      <c r="Q23" s="48" t="inlineStr">
        <is>
          <t>CCF13052026_p1</t>
        </is>
      </c>
    </row>
    <row r="24">
      <c r="A24" s="49" t="inlineStr">
        <is>
          <t>18/04/2026</t>
        </is>
      </c>
      <c r="B24" s="49" t="inlineStr">
        <is>
          <t>matro</t>
        </is>
      </c>
      <c r="C24" s="49" t="n">
        <v>31553</v>
      </c>
      <c r="D24" s="49" t="inlineStr">
        <is>
          <t>1,4</t>
        </is>
      </c>
      <c r="E24" s="49" t="n"/>
      <c r="F24" s="49" t="n">
        <v>94</v>
      </c>
      <c r="G24" s="49" t="n">
        <v>16</v>
      </c>
      <c r="H24" s="49" t="n">
        <v>16</v>
      </c>
      <c r="I24" s="49" t="n"/>
      <c r="J24" s="49" t="n"/>
      <c r="K24" s="49" t="n"/>
      <c r="L24" s="49" t="n"/>
      <c r="M24" s="49" t="n"/>
      <c r="N24" s="49" t="n"/>
      <c r="O24" s="49" t="inlineStr">
        <is>
          <t>Clayton</t>
        </is>
      </c>
      <c r="P24" s="49" t="inlineStr">
        <is>
          <t>LO-40</t>
        </is>
      </c>
      <c r="Q24" s="49" t="inlineStr">
        <is>
          <t>CCF13052026_p1</t>
        </is>
      </c>
    </row>
    <row r="25">
      <c r="A25" s="48" t="inlineStr">
        <is>
          <t>18/04/2026</t>
        </is>
      </c>
      <c r="B25" s="48" t="inlineStr">
        <is>
          <t>matro</t>
        </is>
      </c>
      <c r="C25" s="48" t="n">
        <v>32414</v>
      </c>
      <c r="D25" s="48" t="inlineStr">
        <is>
          <t>1</t>
        </is>
      </c>
      <c r="E25" s="48" t="n"/>
      <c r="F25" s="48" t="n">
        <v>110</v>
      </c>
      <c r="G25" s="48" t="n">
        <v>10</v>
      </c>
      <c r="H25" s="48" t="n">
        <v>10</v>
      </c>
      <c r="I25" s="48" t="n"/>
      <c r="J25" s="48" t="n"/>
      <c r="K25" s="48" t="n"/>
      <c r="L25" s="48" t="n"/>
      <c r="M25" s="48" t="n"/>
      <c r="N25" s="48" t="n"/>
      <c r="O25" s="48" t="inlineStr">
        <is>
          <t>Clayton</t>
        </is>
      </c>
      <c r="P25" s="48" t="inlineStr">
        <is>
          <t>LO-40</t>
        </is>
      </c>
      <c r="Q25" s="48" t="inlineStr">
        <is>
          <t>CCF13052026_p1</t>
        </is>
      </c>
    </row>
    <row r="26">
      <c r="A26" s="49" t="inlineStr">
        <is>
          <t>30/04/2026</t>
        </is>
      </c>
      <c r="B26" s="49" t="inlineStr">
        <is>
          <t>vimin</t>
        </is>
      </c>
      <c r="C26" s="49" t="n">
        <v>31698</v>
      </c>
      <c r="D26" s="49" t="inlineStr">
        <is>
          <t>1</t>
        </is>
      </c>
      <c r="E26" s="49" t="n"/>
      <c r="F26" s="49" t="n">
        <v>276</v>
      </c>
      <c r="G26" s="49" t="n">
        <v>19</v>
      </c>
      <c r="H26" s="49" t="n">
        <v>54</v>
      </c>
      <c r="I26" s="49" t="n"/>
      <c r="J26" s="49" t="n"/>
      <c r="K26" s="49" t="n"/>
      <c r="L26" s="49" t="n"/>
      <c r="M26" s="49" t="n"/>
      <c r="N26" s="49" t="n"/>
      <c r="O26" s="49" t="inlineStr">
        <is>
          <t>Clayton</t>
        </is>
      </c>
      <c r="P26" s="49" t="inlineStr">
        <is>
          <t>LO-40</t>
        </is>
      </c>
      <c r="Q26" s="49" t="inlineStr">
        <is>
          <t>CCF13052026_p2</t>
        </is>
      </c>
    </row>
    <row r="27">
      <c r="A27" s="48" t="inlineStr">
        <is>
          <t>30/04/2026</t>
        </is>
      </c>
      <c r="B27" s="48" t="inlineStr">
        <is>
          <t>vimin</t>
        </is>
      </c>
      <c r="C27" s="48" t="n">
        <v>31699</v>
      </c>
      <c r="D27" s="48" t="inlineStr">
        <is>
          <t>1</t>
        </is>
      </c>
      <c r="E27" s="48" t="n"/>
      <c r="F27" s="48" t="n">
        <v>437</v>
      </c>
      <c r="G27" s="48" t="n">
        <v>57</v>
      </c>
      <c r="H27" s="48" t="n"/>
      <c r="I27" s="48" t="n"/>
      <c r="J27" s="48" t="n"/>
      <c r="K27" s="48" t="n"/>
      <c r="L27" s="48" t="n"/>
      <c r="M27" s="48" t="n"/>
      <c r="N27" s="48" t="n"/>
      <c r="O27" s="48" t="inlineStr">
        <is>
          <t>Clayton</t>
        </is>
      </c>
      <c r="P27" s="48" t="inlineStr">
        <is>
          <t>LO-40</t>
        </is>
      </c>
      <c r="Q27" s="48" t="inlineStr">
        <is>
          <t>CCF13052026_p2</t>
        </is>
      </c>
    </row>
    <row r="28">
      <c r="A28" s="49" t="inlineStr">
        <is>
          <t>12/05/2026</t>
        </is>
      </c>
      <c r="B28" s="49" t="inlineStr">
        <is>
          <t>vimin</t>
        </is>
      </c>
      <c r="C28" s="49" t="n">
        <v>31468</v>
      </c>
      <c r="D28" s="49" t="inlineStr">
        <is>
          <t>2</t>
        </is>
      </c>
      <c r="E28" s="49" t="n"/>
      <c r="F28" s="49" t="n">
        <v>947</v>
      </c>
      <c r="G28" s="49" t="n">
        <v>63</v>
      </c>
      <c r="H28" s="49" t="n"/>
      <c r="I28" s="49" t="n"/>
      <c r="J28" s="49" t="n"/>
      <c r="K28" s="49" t="n"/>
      <c r="L28" s="49" t="n"/>
      <c r="M28" s="49" t="n"/>
      <c r="N28" s="49" t="n"/>
      <c r="O28" s="49" t="inlineStr">
        <is>
          <t>Clayton</t>
        </is>
      </c>
      <c r="P28" s="49" t="inlineStr">
        <is>
          <t>LO-40</t>
        </is>
      </c>
      <c r="Q28" s="49" t="inlineStr">
        <is>
          <t>CCF13052026_p2</t>
        </is>
      </c>
    </row>
    <row r="29">
      <c r="A29" s="48" t="inlineStr">
        <is>
          <t>13/05/2026</t>
        </is>
      </c>
      <c r="B29" s="48" t="inlineStr">
        <is>
          <t>vimin</t>
        </is>
      </c>
      <c r="C29" s="48" t="n">
        <v>31486</v>
      </c>
      <c r="D29" s="48" t="inlineStr">
        <is>
          <t>2</t>
        </is>
      </c>
      <c r="E29" s="48" t="n"/>
      <c r="F29" s="48" t="n">
        <v>947</v>
      </c>
      <c r="G29" s="48" t="n">
        <v>84</v>
      </c>
      <c r="H29" s="48" t="n"/>
      <c r="I29" s="48" t="n"/>
      <c r="J29" s="48" t="n"/>
      <c r="K29" s="48" t="n"/>
      <c r="L29" s="48" t="n"/>
      <c r="M29" s="48" t="n"/>
      <c r="N29" s="48" t="n"/>
      <c r="O29" s="48" t="inlineStr">
        <is>
          <t>Clayton</t>
        </is>
      </c>
      <c r="P29" s="48" t="inlineStr">
        <is>
          <t>LO-40</t>
        </is>
      </c>
      <c r="Q29" s="48" t="inlineStr">
        <is>
          <t>CCF13052026_p2</t>
        </is>
      </c>
    </row>
    <row r="30">
      <c r="A30" s="49" t="inlineStr">
        <is>
          <t>08/04/2026</t>
        </is>
      </c>
      <c r="B30" s="49" t="n"/>
      <c r="C30" s="49" t="n">
        <v>30838</v>
      </c>
      <c r="D30" s="49" t="n"/>
      <c r="E30" s="49" t="inlineStr">
        <is>
          <t>Furo loblonga</t>
        </is>
      </c>
      <c r="F30" s="49" t="n"/>
      <c r="G30" s="49" t="n">
        <v>665</v>
      </c>
      <c r="H30" s="49" t="n"/>
      <c r="I30" s="49" t="inlineStr">
        <is>
          <t>08:30</t>
        </is>
      </c>
      <c r="J30" s="49" t="inlineStr">
        <is>
          <t>15:35</t>
        </is>
      </c>
      <c r="K30" s="49" t="n"/>
      <c r="L30" s="49" t="n"/>
      <c r="M30" s="49" t="inlineStr">
        <is>
          <t>P03</t>
        </is>
      </c>
      <c r="N30" s="49" t="n"/>
      <c r="O30" s="49" t="inlineStr">
        <is>
          <t>Wendell</t>
        </is>
      </c>
      <c r="P30" s="49" t="inlineStr">
        <is>
          <t>Centro Usinagem</t>
        </is>
      </c>
      <c r="Q30" s="49" t="inlineStr">
        <is>
          <t>WA14052026_p1</t>
        </is>
      </c>
    </row>
    <row r="31">
      <c r="A31" s="48" t="inlineStr">
        <is>
          <t>09/04/2026</t>
        </is>
      </c>
      <c r="B31" s="48" t="n"/>
      <c r="C31" s="48" t="n">
        <v>30838</v>
      </c>
      <c r="D31" s="48" t="n"/>
      <c r="E31" s="48" t="inlineStr">
        <is>
          <t>Furo loblonga</t>
        </is>
      </c>
      <c r="F31" s="48" t="n"/>
      <c r="G31" s="48" t="n">
        <v>305</v>
      </c>
      <c r="H31" s="48" t="n"/>
      <c r="I31" s="48" t="inlineStr">
        <is>
          <t>10:00</t>
        </is>
      </c>
      <c r="J31" s="48" t="n"/>
      <c r="K31" s="48" t="n"/>
      <c r="L31" s="48" t="n"/>
      <c r="M31" s="48" t="n"/>
      <c r="N31" s="48" t="n"/>
      <c r="O31" s="48" t="inlineStr">
        <is>
          <t>Andrei</t>
        </is>
      </c>
      <c r="P31" s="48" t="inlineStr">
        <is>
          <t>Centro Usinagem</t>
        </is>
      </c>
      <c r="Q31" s="48" t="inlineStr">
        <is>
          <t>WA14052026_p1</t>
        </is>
      </c>
    </row>
    <row r="32">
      <c r="A32" s="49" t="inlineStr">
        <is>
          <t>06/04/2026</t>
        </is>
      </c>
      <c r="B32" s="49" t="n"/>
      <c r="C32" s="49" t="n">
        <v>30838</v>
      </c>
      <c r="D32" s="49" t="n"/>
      <c r="E32" s="49" t="n"/>
      <c r="F32" s="49" t="n"/>
      <c r="G32" s="49" t="n"/>
      <c r="H32" s="49" t="n"/>
      <c r="I32" s="49" t="inlineStr">
        <is>
          <t>09:35</t>
        </is>
      </c>
      <c r="J32" s="49" t="inlineStr">
        <is>
          <t>12:40</t>
        </is>
      </c>
      <c r="K32" s="49" t="n"/>
      <c r="L32" s="49" t="n"/>
      <c r="M32" s="49" t="inlineStr">
        <is>
          <t>P12</t>
        </is>
      </c>
      <c r="N32" s="49" t="n"/>
      <c r="O32" s="49" t="n"/>
      <c r="P32" s="49" t="inlineStr">
        <is>
          <t>Centro Usinagem</t>
        </is>
      </c>
      <c r="Q32" s="49" t="inlineStr">
        <is>
          <t>WA14052026_p1</t>
        </is>
      </c>
    </row>
    <row r="33">
      <c r="A33" s="48" t="inlineStr">
        <is>
          <t>07/04/2026</t>
        </is>
      </c>
      <c r="B33" s="48" t="n"/>
      <c r="C33" s="48" t="n">
        <v>30838</v>
      </c>
      <c r="D33" s="48" t="n"/>
      <c r="E33" s="48" t="n"/>
      <c r="F33" s="48" t="n"/>
      <c r="G33" s="48" t="n"/>
      <c r="H33" s="48" t="n"/>
      <c r="I33" s="48" t="inlineStr">
        <is>
          <t>08:30</t>
        </is>
      </c>
      <c r="J33" s="48" t="inlineStr">
        <is>
          <t>09:00</t>
        </is>
      </c>
      <c r="K33" s="48" t="n"/>
      <c r="L33" s="48" t="n"/>
      <c r="M33" s="48" t="inlineStr">
        <is>
          <t>P15</t>
        </is>
      </c>
      <c r="N33" s="48" t="n"/>
      <c r="O33" s="48" t="n"/>
      <c r="P33" s="48" t="inlineStr">
        <is>
          <t>Centro Usinagem</t>
        </is>
      </c>
      <c r="Q33" s="48" t="inlineStr">
        <is>
          <t>WA14052026_p1</t>
        </is>
      </c>
    </row>
    <row r="34">
      <c r="A34" s="49" t="inlineStr">
        <is>
          <t>01/04/2026</t>
        </is>
      </c>
      <c r="B34" s="49" t="inlineStr">
        <is>
          <t>matro</t>
        </is>
      </c>
      <c r="C34" s="49" t="n">
        <v>31553</v>
      </c>
      <c r="D34" s="49" t="inlineStr">
        <is>
          <t>1,4</t>
        </is>
      </c>
      <c r="E34" s="49" t="n"/>
      <c r="F34" s="49" t="n">
        <v>1</v>
      </c>
      <c r="G34" s="49" t="n">
        <v>182</v>
      </c>
      <c r="H34" s="49" t="n"/>
      <c r="I34" s="49" t="n"/>
      <c r="J34" s="49" t="n"/>
      <c r="K34" s="49" t="n"/>
      <c r="L34" s="49" t="n"/>
      <c r="M34" s="49" t="n"/>
      <c r="N34" s="49" t="n"/>
      <c r="O34" s="49" t="inlineStr">
        <is>
          <t>Wendell</t>
        </is>
      </c>
      <c r="P34" s="49" t="inlineStr">
        <is>
          <t>Centro Usinagem</t>
        </is>
      </c>
      <c r="Q34" s="49" t="inlineStr">
        <is>
          <t>WA14052026_p2</t>
        </is>
      </c>
    </row>
    <row r="35">
      <c r="A35" s="48" t="inlineStr">
        <is>
          <t>08/04/2026</t>
        </is>
      </c>
      <c r="B35" s="48" t="inlineStr">
        <is>
          <t>matro</t>
        </is>
      </c>
      <c r="C35" s="48" t="n"/>
      <c r="D35" s="48" t="inlineStr">
        <is>
          <t>1</t>
        </is>
      </c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inlineStr">
        <is>
          <t>P07</t>
        </is>
      </c>
      <c r="N35" s="48" t="n"/>
      <c r="O35" s="48" t="inlineStr">
        <is>
          <t>Wendell</t>
        </is>
      </c>
      <c r="P35" s="48" t="inlineStr">
        <is>
          <t>Centro Usinagem</t>
        </is>
      </c>
      <c r="Q35" s="48" t="inlineStr">
        <is>
          <t>WA14052026_p2</t>
        </is>
      </c>
    </row>
    <row r="36">
      <c r="A36" s="49" t="inlineStr">
        <is>
          <t>15/04/2026</t>
        </is>
      </c>
      <c r="B36" s="49" t="inlineStr">
        <is>
          <t>matro</t>
        </is>
      </c>
      <c r="C36" s="49" t="n">
        <v>31553</v>
      </c>
      <c r="D36" s="49" t="inlineStr">
        <is>
          <t>1,4</t>
        </is>
      </c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inlineStr">
        <is>
          <t>Wendell</t>
        </is>
      </c>
      <c r="P36" s="49" t="inlineStr">
        <is>
          <t>Centro Usinagem</t>
        </is>
      </c>
      <c r="Q36" s="49" t="inlineStr">
        <is>
          <t>WA14052026_p2</t>
        </is>
      </c>
    </row>
    <row r="37">
      <c r="A37" s="48" t="inlineStr">
        <is>
          <t>18/04/2026</t>
        </is>
      </c>
      <c r="B37" s="48" t="inlineStr">
        <is>
          <t>matro</t>
        </is>
      </c>
      <c r="C37" s="48" t="n">
        <v>31553</v>
      </c>
      <c r="D37" s="48" t="inlineStr">
        <is>
          <t>4</t>
        </is>
      </c>
      <c r="E37" s="48" t="inlineStr">
        <is>
          <t>2a CNC c/Furo</t>
        </is>
      </c>
      <c r="F37" s="48" t="n">
        <v>1</v>
      </c>
      <c r="G37" s="48" t="n">
        <v>80</v>
      </c>
      <c r="H37" s="48" t="n"/>
      <c r="I37" s="48" t="n"/>
      <c r="J37" s="48" t="n"/>
      <c r="K37" s="48" t="n"/>
      <c r="L37" s="48" t="n"/>
      <c r="M37" s="48" t="inlineStr">
        <is>
          <t>P01</t>
        </is>
      </c>
      <c r="N37" s="48" t="n"/>
      <c r="O37" s="48" t="inlineStr">
        <is>
          <t>Wendell</t>
        </is>
      </c>
      <c r="P37" s="48" t="inlineStr">
        <is>
          <t>Centro Usinagem</t>
        </is>
      </c>
      <c r="Q37" s="48" t="inlineStr">
        <is>
          <t>WA14052026_p3</t>
        </is>
      </c>
    </row>
    <row r="38">
      <c r="A38" s="49" t="inlineStr">
        <is>
          <t>18/04/2026</t>
        </is>
      </c>
      <c r="B38" s="49" t="inlineStr">
        <is>
          <t>matro</t>
        </is>
      </c>
      <c r="C38" s="49" t="n">
        <v>31553</v>
      </c>
      <c r="D38" s="49" t="inlineStr">
        <is>
          <t>4</t>
        </is>
      </c>
      <c r="E38" s="49" t="n"/>
      <c r="F38" s="49" t="n">
        <v>494</v>
      </c>
      <c r="G38" s="49" t="n">
        <v>141</v>
      </c>
      <c r="H38" s="49" t="n">
        <v>141</v>
      </c>
      <c r="I38" s="49" t="n"/>
      <c r="J38" s="49" t="n"/>
      <c r="K38" s="49" t="n"/>
      <c r="L38" s="49" t="n"/>
      <c r="M38" s="49" t="n"/>
      <c r="N38" s="49" t="n"/>
      <c r="O38" s="49" t="inlineStr">
        <is>
          <t>Wendell</t>
        </is>
      </c>
      <c r="P38" s="49" t="inlineStr">
        <is>
          <t>Centro Usinagem</t>
        </is>
      </c>
      <c r="Q38" s="49" t="inlineStr">
        <is>
          <t>WA14052026_p3</t>
        </is>
      </c>
    </row>
    <row r="39">
      <c r="A39" s="48" t="inlineStr">
        <is>
          <t>23/04/2026</t>
        </is>
      </c>
      <c r="B39" s="48" t="inlineStr">
        <is>
          <t>matro</t>
        </is>
      </c>
      <c r="C39" s="48" t="n">
        <v>31553</v>
      </c>
      <c r="D39" s="48" t="inlineStr">
        <is>
          <t>4</t>
        </is>
      </c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inlineStr">
        <is>
          <t>P07</t>
        </is>
      </c>
      <c r="N39" s="48" t="n"/>
      <c r="O39" s="48" t="inlineStr">
        <is>
          <t>Wendell</t>
        </is>
      </c>
      <c r="P39" s="48" t="inlineStr">
        <is>
          <t>Centro Usinagem</t>
        </is>
      </c>
      <c r="Q39" s="48" t="inlineStr">
        <is>
          <t>WA14052026_p3</t>
        </is>
      </c>
    </row>
    <row r="40">
      <c r="A40" s="49" t="inlineStr">
        <is>
          <t>23/04/2026</t>
        </is>
      </c>
      <c r="B40" s="49" t="inlineStr">
        <is>
          <t>matro</t>
        </is>
      </c>
      <c r="C40" s="49" t="n">
        <v>31553</v>
      </c>
      <c r="D40" s="49" t="inlineStr">
        <is>
          <t>4</t>
        </is>
      </c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inlineStr">
        <is>
          <t>Wendell</t>
        </is>
      </c>
      <c r="P40" s="49" t="inlineStr">
        <is>
          <t>Centro Usinagem</t>
        </is>
      </c>
      <c r="Q40" s="49" t="inlineStr">
        <is>
          <t>WA14052026_p3</t>
        </is>
      </c>
    </row>
    <row r="41">
      <c r="A41" s="48" t="inlineStr">
        <is>
          <t>06/05/2026</t>
        </is>
      </c>
      <c r="B41" s="48" t="inlineStr">
        <is>
          <t>matro</t>
        </is>
      </c>
      <c r="C41" s="48" t="n"/>
      <c r="D41" s="48" t="inlineStr">
        <is>
          <t>4</t>
        </is>
      </c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inlineStr">
        <is>
          <t>Wendell</t>
        </is>
      </c>
      <c r="P41" s="48" t="inlineStr">
        <is>
          <t>Centro Usinagem</t>
        </is>
      </c>
      <c r="Q41" s="48" t="inlineStr">
        <is>
          <t>WA14052026_p3</t>
        </is>
      </c>
    </row>
    <row r="42">
      <c r="A42" s="49" t="inlineStr">
        <is>
          <t>12/05/2026</t>
        </is>
      </c>
      <c r="B42" s="49" t="inlineStr">
        <is>
          <t>matro</t>
        </is>
      </c>
      <c r="C42" s="49" t="n"/>
      <c r="D42" s="49" t="inlineStr">
        <is>
          <t>4</t>
        </is>
      </c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inlineStr">
        <is>
          <t>P07</t>
        </is>
      </c>
      <c r="N42" s="49" t="n"/>
      <c r="O42" s="49" t="inlineStr">
        <is>
          <t>Wendell</t>
        </is>
      </c>
      <c r="P42" s="49" t="inlineStr">
        <is>
          <t>Centro Usinagem</t>
        </is>
      </c>
      <c r="Q42" s="49" t="inlineStr">
        <is>
          <t>WA14052026_p3</t>
        </is>
      </c>
    </row>
    <row r="43">
      <c r="A43" s="48" t="inlineStr">
        <is>
          <t>13/05/2026</t>
        </is>
      </c>
      <c r="B43" s="48" t="inlineStr">
        <is>
          <t>matro</t>
        </is>
      </c>
      <c r="C43" s="48" t="n"/>
      <c r="D43" s="48" t="inlineStr">
        <is>
          <t>4</t>
        </is>
      </c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inlineStr">
        <is>
          <t>Wendell</t>
        </is>
      </c>
      <c r="P43" s="48" t="inlineStr">
        <is>
          <t>Centro Usinagem</t>
        </is>
      </c>
      <c r="Q43" s="48" t="inlineStr">
        <is>
          <t>WA14052026_p3</t>
        </is>
      </c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</row>
  </sheetData>
  <mergeCells count="1">
    <mergeCell ref="A1:Q1"/>
  </mergeCells>
  <dataValidations count="1">
    <dataValidation sqref="Q4:Q203" showDropDown="0" showInputMessage="0" showErrorMessage="0" allowBlank="1" type="list">
      <formula1>"OK,AJ,??"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4"/>
  <sheetViews>
    <sheetView showGridLines="0" workbookViewId="0">
      <pane ySplit="4" topLeftCell="A5" activePane="bottomLeft" state="frozen"/>
      <selection pane="bottomLeft" activeCell="A1" sqref="A1:O1"/>
    </sheetView>
  </sheetViews>
  <sheetFormatPr baseColWidth="8" defaultRowHeight="14.4"/>
  <cols>
    <col width="11" customWidth="1" style="27" min="1" max="1"/>
    <col width="14" customWidth="1" style="27" min="2" max="2"/>
    <col width="18" customWidth="1" style="27" min="3" max="3"/>
    <col width="14" customWidth="1" style="27" min="4" max="5"/>
    <col width="8" customWidth="1" style="27" min="6" max="6"/>
    <col width="11" customWidth="1" style="27" min="7" max="7"/>
    <col width="9" customWidth="1" style="27" min="8" max="8"/>
    <col width="10" customWidth="1" style="27" min="9" max="9"/>
    <col width="11" customWidth="1" style="27" min="10" max="11"/>
    <col width="10" customWidth="1" style="27" min="12" max="13"/>
    <col width="12" customWidth="1" style="27" min="14" max="14"/>
    <col width="30" customWidth="1" style="27" min="15" max="15"/>
  </cols>
  <sheetData>
    <row r="1" ht="21" customHeight="1" s="27">
      <c r="A1" s="45" t="inlineStr">
        <is>
          <t>CRONOMETRAGEM DE CALIBRAÇÃO</t>
        </is>
      </c>
    </row>
    <row r="2">
      <c r="A2" s="39" t="inlineStr">
        <is>
          <t>10 ciclos por peça Pareto · ritmo Westinghouse · tolerâncias 13% padrão</t>
        </is>
      </c>
    </row>
    <row r="4" ht="28.05" customHeight="1" s="27">
      <c r="A4" s="14" t="inlineStr">
        <is>
          <t>DATA</t>
        </is>
      </c>
      <c r="B4" s="14" t="inlineStr">
        <is>
          <t>MÁQUINA</t>
        </is>
      </c>
      <c r="C4" s="14" t="inlineStr">
        <is>
          <t>PEÇA</t>
        </is>
      </c>
      <c r="D4" s="14" t="inlineStr">
        <is>
          <t>OPERADOR</t>
        </is>
      </c>
      <c r="E4" s="14" t="inlineStr">
        <is>
          <t>OBSERVADOR</t>
        </is>
      </c>
      <c r="F4" s="14" t="inlineStr">
        <is>
          <t>CICLO</t>
        </is>
      </c>
      <c r="G4" s="14" t="inlineStr">
        <is>
          <t>T_CICLO_MIN</t>
        </is>
      </c>
      <c r="H4" s="14" t="inlineStr">
        <is>
          <t>RITMO</t>
        </is>
      </c>
      <c r="I4" s="14" t="inlineStr">
        <is>
          <t>FATOR_TOL</t>
        </is>
      </c>
      <c r="J4" s="14" t="inlineStr">
        <is>
          <t>TN_MIN</t>
        </is>
      </c>
      <c r="K4" s="14" t="inlineStr">
        <is>
          <t>TP_MIN</t>
        </is>
      </c>
      <c r="L4" s="14" t="inlineStr">
        <is>
          <t>SETUP_MIN</t>
        </is>
      </c>
      <c r="M4" s="14" t="inlineStr">
        <is>
          <t>QTD_LOTE</t>
        </is>
      </c>
      <c r="N4" s="14" t="inlineStr">
        <is>
          <t>TT_LOTE_MIN</t>
        </is>
      </c>
      <c r="O4" s="14" t="inlineStr">
        <is>
          <t>OBS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>
        <f>IFERROR(G5*H5,"")</f>
        <v/>
      </c>
      <c r="K5" s="13">
        <f>IFERROR(J5*(1+I5),"")</f>
        <v/>
      </c>
      <c r="L5" s="13" t="n"/>
      <c r="M5" s="13" t="n"/>
      <c r="N5" s="13">
        <f>IFERROR(L5+K5*M5,"")</f>
        <v/>
      </c>
      <c r="O5" s="13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>
        <f>IFERROR(G6*H6,"")</f>
        <v/>
      </c>
      <c r="K6" s="15">
        <f>IFERROR(J6*(1+I6),"")</f>
        <v/>
      </c>
      <c r="L6" s="15" t="n"/>
      <c r="M6" s="15" t="n"/>
      <c r="N6" s="15">
        <f>IFERROR(L6+K6*M6,"")</f>
        <v/>
      </c>
      <c r="O6" s="15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>
        <f>IFERROR(G7*H7,"")</f>
        <v/>
      </c>
      <c r="K7" s="13">
        <f>IFERROR(J7*(1+I7),"")</f>
        <v/>
      </c>
      <c r="L7" s="13" t="n"/>
      <c r="M7" s="13" t="n"/>
      <c r="N7" s="13">
        <f>IFERROR(L7+K7*M7,"")</f>
        <v/>
      </c>
      <c r="O7" s="13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>
        <f>IFERROR(G8*H8,"")</f>
        <v/>
      </c>
      <c r="K8" s="15">
        <f>IFERROR(J8*(1+I8),"")</f>
        <v/>
      </c>
      <c r="L8" s="15" t="n"/>
      <c r="M8" s="15" t="n"/>
      <c r="N8" s="15">
        <f>IFERROR(L8+K8*M8,"")</f>
        <v/>
      </c>
      <c r="O8" s="15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>
        <f>IFERROR(G9*H9,"")</f>
        <v/>
      </c>
      <c r="K9" s="13">
        <f>IFERROR(J9*(1+I9),"")</f>
        <v/>
      </c>
      <c r="L9" s="13" t="n"/>
      <c r="M9" s="13" t="n"/>
      <c r="N9" s="13">
        <f>IFERROR(L9+K9*M9,"")</f>
        <v/>
      </c>
      <c r="O9" s="13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>
        <f>IFERROR(G10*H10,"")</f>
        <v/>
      </c>
      <c r="K10" s="15">
        <f>IFERROR(J10*(1+I10),"")</f>
        <v/>
      </c>
      <c r="L10" s="15" t="n"/>
      <c r="M10" s="15" t="n"/>
      <c r="N10" s="15">
        <f>IFERROR(L10+K10*M10,"")</f>
        <v/>
      </c>
      <c r="O10" s="15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>
        <f>IFERROR(G11*H11,"")</f>
        <v/>
      </c>
      <c r="K11" s="13">
        <f>IFERROR(J11*(1+I11),"")</f>
        <v/>
      </c>
      <c r="L11" s="13" t="n"/>
      <c r="M11" s="13" t="n"/>
      <c r="N11" s="13">
        <f>IFERROR(L11+K11*M11,"")</f>
        <v/>
      </c>
      <c r="O11" s="13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>
        <f>IFERROR(G12*H12,"")</f>
        <v/>
      </c>
      <c r="K12" s="15">
        <f>IFERROR(J12*(1+I12),"")</f>
        <v/>
      </c>
      <c r="L12" s="15" t="n"/>
      <c r="M12" s="15" t="n"/>
      <c r="N12" s="15">
        <f>IFERROR(L12+K12*M12,"")</f>
        <v/>
      </c>
      <c r="O12" s="15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>
        <f>IFERROR(G13*H13,"")</f>
        <v/>
      </c>
      <c r="K13" s="13">
        <f>IFERROR(J13*(1+I13),"")</f>
        <v/>
      </c>
      <c r="L13" s="13" t="n"/>
      <c r="M13" s="13" t="n"/>
      <c r="N13" s="13">
        <f>IFERROR(L13+K13*M13,"")</f>
        <v/>
      </c>
      <c r="O13" s="13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>
        <f>IFERROR(G14*H14,"")</f>
        <v/>
      </c>
      <c r="K14" s="15">
        <f>IFERROR(J14*(1+I14),"")</f>
        <v/>
      </c>
      <c r="L14" s="15" t="n"/>
      <c r="M14" s="15" t="n"/>
      <c r="N14" s="15">
        <f>IFERROR(L14+K14*M14,"")</f>
        <v/>
      </c>
      <c r="O14" s="15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>
        <f>IFERROR(G15*H15,"")</f>
        <v/>
      </c>
      <c r="K15" s="13">
        <f>IFERROR(J15*(1+I15),"")</f>
        <v/>
      </c>
      <c r="L15" s="13" t="n"/>
      <c r="M15" s="13" t="n"/>
      <c r="N15" s="13">
        <f>IFERROR(L15+K15*M15,"")</f>
        <v/>
      </c>
      <c r="O15" s="13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>
        <f>IFERROR(G16*H16,"")</f>
        <v/>
      </c>
      <c r="K16" s="15">
        <f>IFERROR(J16*(1+I16),"")</f>
        <v/>
      </c>
      <c r="L16" s="15" t="n"/>
      <c r="M16" s="15" t="n"/>
      <c r="N16" s="15">
        <f>IFERROR(L16+K16*M16,"")</f>
        <v/>
      </c>
      <c r="O16" s="15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>
        <f>IFERROR(G17*H17,"")</f>
        <v/>
      </c>
      <c r="K17" s="13">
        <f>IFERROR(J17*(1+I17),"")</f>
        <v/>
      </c>
      <c r="L17" s="13" t="n"/>
      <c r="M17" s="13" t="n"/>
      <c r="N17" s="13">
        <f>IFERROR(L17+K17*M17,"")</f>
        <v/>
      </c>
      <c r="O17" s="13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>
        <f>IFERROR(G18*H18,"")</f>
        <v/>
      </c>
      <c r="K18" s="15">
        <f>IFERROR(J18*(1+I18),"")</f>
        <v/>
      </c>
      <c r="L18" s="15" t="n"/>
      <c r="M18" s="15" t="n"/>
      <c r="N18" s="15">
        <f>IFERROR(L18+K18*M18,"")</f>
        <v/>
      </c>
      <c r="O18" s="15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>
        <f>IFERROR(G19*H19,"")</f>
        <v/>
      </c>
      <c r="K19" s="13">
        <f>IFERROR(J19*(1+I19),"")</f>
        <v/>
      </c>
      <c r="L19" s="13" t="n"/>
      <c r="M19" s="13" t="n"/>
      <c r="N19" s="13">
        <f>IFERROR(L19+K19*M19,"")</f>
        <v/>
      </c>
      <c r="O19" s="13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>
        <f>IFERROR(G20*H20,"")</f>
        <v/>
      </c>
      <c r="K20" s="15">
        <f>IFERROR(J20*(1+I20),"")</f>
        <v/>
      </c>
      <c r="L20" s="15" t="n"/>
      <c r="M20" s="15" t="n"/>
      <c r="N20" s="15">
        <f>IFERROR(L20+K20*M20,"")</f>
        <v/>
      </c>
      <c r="O20" s="15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>
        <f>IFERROR(G21*H21,"")</f>
        <v/>
      </c>
      <c r="K21" s="13">
        <f>IFERROR(J21*(1+I21),"")</f>
        <v/>
      </c>
      <c r="L21" s="13" t="n"/>
      <c r="M21" s="13" t="n"/>
      <c r="N21" s="13">
        <f>IFERROR(L21+K21*M21,"")</f>
        <v/>
      </c>
      <c r="O21" s="13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>
        <f>IFERROR(G22*H22,"")</f>
        <v/>
      </c>
      <c r="K22" s="15">
        <f>IFERROR(J22*(1+I22),"")</f>
        <v/>
      </c>
      <c r="L22" s="15" t="n"/>
      <c r="M22" s="15" t="n"/>
      <c r="N22" s="15">
        <f>IFERROR(L22+K22*M22,"")</f>
        <v/>
      </c>
      <c r="O22" s="15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>
        <f>IFERROR(G23*H23,"")</f>
        <v/>
      </c>
      <c r="K23" s="13">
        <f>IFERROR(J23*(1+I23),"")</f>
        <v/>
      </c>
      <c r="L23" s="13" t="n"/>
      <c r="M23" s="13" t="n"/>
      <c r="N23" s="13">
        <f>IFERROR(L23+K23*M23,"")</f>
        <v/>
      </c>
      <c r="O23" s="13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>
        <f>IFERROR(G24*H24,"")</f>
        <v/>
      </c>
      <c r="K24" s="15">
        <f>IFERROR(J24*(1+I24),"")</f>
        <v/>
      </c>
      <c r="L24" s="15" t="n"/>
      <c r="M24" s="15" t="n"/>
      <c r="N24" s="15">
        <f>IFERROR(L24+K24*M24,"")</f>
        <v/>
      </c>
      <c r="O24" s="15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>
        <f>IFERROR(G25*H25,"")</f>
        <v/>
      </c>
      <c r="K25" s="13">
        <f>IFERROR(J25*(1+I25),"")</f>
        <v/>
      </c>
      <c r="L25" s="13" t="n"/>
      <c r="M25" s="13" t="n"/>
      <c r="N25" s="13">
        <f>IFERROR(L25+K25*M25,"")</f>
        <v/>
      </c>
      <c r="O25" s="13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>
        <f>IFERROR(G26*H26,"")</f>
        <v/>
      </c>
      <c r="K26" s="15">
        <f>IFERROR(J26*(1+I26),"")</f>
        <v/>
      </c>
      <c r="L26" s="15" t="n"/>
      <c r="M26" s="15" t="n"/>
      <c r="N26" s="15">
        <f>IFERROR(L26+K26*M26,"")</f>
        <v/>
      </c>
      <c r="O26" s="15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>
        <f>IFERROR(G27*H27,"")</f>
        <v/>
      </c>
      <c r="K27" s="13">
        <f>IFERROR(J27*(1+I27),"")</f>
        <v/>
      </c>
      <c r="L27" s="13" t="n"/>
      <c r="M27" s="13" t="n"/>
      <c r="N27" s="13">
        <f>IFERROR(L27+K27*M27,"")</f>
        <v/>
      </c>
      <c r="O27" s="13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>
        <f>IFERROR(G28*H28,"")</f>
        <v/>
      </c>
      <c r="K28" s="15">
        <f>IFERROR(J28*(1+I28),"")</f>
        <v/>
      </c>
      <c r="L28" s="15" t="n"/>
      <c r="M28" s="15" t="n"/>
      <c r="N28" s="15">
        <f>IFERROR(L28+K28*M28,"")</f>
        <v/>
      </c>
      <c r="O28" s="15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>
        <f>IFERROR(G29*H29,"")</f>
        <v/>
      </c>
      <c r="K29" s="13">
        <f>IFERROR(J29*(1+I29),"")</f>
        <v/>
      </c>
      <c r="L29" s="13" t="n"/>
      <c r="M29" s="13" t="n"/>
      <c r="N29" s="13">
        <f>IFERROR(L29+K29*M29,"")</f>
        <v/>
      </c>
      <c r="O29" s="13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>
        <f>IFERROR(G30*H30,"")</f>
        <v/>
      </c>
      <c r="K30" s="15">
        <f>IFERROR(J30*(1+I30),"")</f>
        <v/>
      </c>
      <c r="L30" s="15" t="n"/>
      <c r="M30" s="15" t="n"/>
      <c r="N30" s="15">
        <f>IFERROR(L30+K30*M30,"")</f>
        <v/>
      </c>
      <c r="O30" s="15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>
        <f>IFERROR(G31*H31,"")</f>
        <v/>
      </c>
      <c r="K31" s="13">
        <f>IFERROR(J31*(1+I31),"")</f>
        <v/>
      </c>
      <c r="L31" s="13" t="n"/>
      <c r="M31" s="13" t="n"/>
      <c r="N31" s="13">
        <f>IFERROR(L31+K31*M31,"")</f>
        <v/>
      </c>
      <c r="O31" s="13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>
        <f>IFERROR(G32*H32,"")</f>
        <v/>
      </c>
      <c r="K32" s="15">
        <f>IFERROR(J32*(1+I32),"")</f>
        <v/>
      </c>
      <c r="L32" s="15" t="n"/>
      <c r="M32" s="15" t="n"/>
      <c r="N32" s="15">
        <f>IFERROR(L32+K32*M32,"")</f>
        <v/>
      </c>
      <c r="O32" s="15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>
        <f>IFERROR(G33*H33,"")</f>
        <v/>
      </c>
      <c r="K33" s="13">
        <f>IFERROR(J33*(1+I33),"")</f>
        <v/>
      </c>
      <c r="L33" s="13" t="n"/>
      <c r="M33" s="13" t="n"/>
      <c r="N33" s="13">
        <f>IFERROR(L33+K33*M33,"")</f>
        <v/>
      </c>
      <c r="O33" s="13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>
        <f>IFERROR(G34*H34,"")</f>
        <v/>
      </c>
      <c r="K34" s="15">
        <f>IFERROR(J34*(1+I34),"")</f>
        <v/>
      </c>
      <c r="L34" s="15" t="n"/>
      <c r="M34" s="15" t="n"/>
      <c r="N34" s="15">
        <f>IFERROR(L34+K34*M34,"")</f>
        <v/>
      </c>
      <c r="O34" s="15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>
        <f>IFERROR(G35*H35,"")</f>
        <v/>
      </c>
      <c r="K35" s="13">
        <f>IFERROR(J35*(1+I35),"")</f>
        <v/>
      </c>
      <c r="L35" s="13" t="n"/>
      <c r="M35" s="13" t="n"/>
      <c r="N35" s="13">
        <f>IFERROR(L35+K35*M35,"")</f>
        <v/>
      </c>
      <c r="O35" s="13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>
        <f>IFERROR(G36*H36,"")</f>
        <v/>
      </c>
      <c r="K36" s="15">
        <f>IFERROR(J36*(1+I36),"")</f>
        <v/>
      </c>
      <c r="L36" s="15" t="n"/>
      <c r="M36" s="15" t="n"/>
      <c r="N36" s="15">
        <f>IFERROR(L36+K36*M36,"")</f>
        <v/>
      </c>
      <c r="O36" s="15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>
        <f>IFERROR(G37*H37,"")</f>
        <v/>
      </c>
      <c r="K37" s="13">
        <f>IFERROR(J37*(1+I37),"")</f>
        <v/>
      </c>
      <c r="L37" s="13" t="n"/>
      <c r="M37" s="13" t="n"/>
      <c r="N37" s="13">
        <f>IFERROR(L37+K37*M37,"")</f>
        <v/>
      </c>
      <c r="O37" s="13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>
        <f>IFERROR(G38*H38,"")</f>
        <v/>
      </c>
      <c r="K38" s="15">
        <f>IFERROR(J38*(1+I38),"")</f>
        <v/>
      </c>
      <c r="L38" s="15" t="n"/>
      <c r="M38" s="15" t="n"/>
      <c r="N38" s="15">
        <f>IFERROR(L38+K38*M38,"")</f>
        <v/>
      </c>
      <c r="O38" s="15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>
        <f>IFERROR(G39*H39,"")</f>
        <v/>
      </c>
      <c r="K39" s="13">
        <f>IFERROR(J39*(1+I39),"")</f>
        <v/>
      </c>
      <c r="L39" s="13" t="n"/>
      <c r="M39" s="13" t="n"/>
      <c r="N39" s="13">
        <f>IFERROR(L39+K39*M39,"")</f>
        <v/>
      </c>
      <c r="O39" s="13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>
        <f>IFERROR(G40*H40,"")</f>
        <v/>
      </c>
      <c r="K40" s="15">
        <f>IFERROR(J40*(1+I40),"")</f>
        <v/>
      </c>
      <c r="L40" s="15" t="n"/>
      <c r="M40" s="15" t="n"/>
      <c r="N40" s="15">
        <f>IFERROR(L40+K40*M40,"")</f>
        <v/>
      </c>
      <c r="O40" s="15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>
        <f>IFERROR(G41*H41,"")</f>
        <v/>
      </c>
      <c r="K41" s="13">
        <f>IFERROR(J41*(1+I41),"")</f>
        <v/>
      </c>
      <c r="L41" s="13" t="n"/>
      <c r="M41" s="13" t="n"/>
      <c r="N41" s="13">
        <f>IFERROR(L41+K41*M41,"")</f>
        <v/>
      </c>
      <c r="O41" s="13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>
        <f>IFERROR(G42*H42,"")</f>
        <v/>
      </c>
      <c r="K42" s="15">
        <f>IFERROR(J42*(1+I42),"")</f>
        <v/>
      </c>
      <c r="L42" s="15" t="n"/>
      <c r="M42" s="15" t="n"/>
      <c r="N42" s="15">
        <f>IFERROR(L42+K42*M42,"")</f>
        <v/>
      </c>
      <c r="O42" s="15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>
        <f>IFERROR(G43*H43,"")</f>
        <v/>
      </c>
      <c r="K43" s="13">
        <f>IFERROR(J43*(1+I43),"")</f>
        <v/>
      </c>
      <c r="L43" s="13" t="n"/>
      <c r="M43" s="13" t="n"/>
      <c r="N43" s="13">
        <f>IFERROR(L43+K43*M43,"")</f>
        <v/>
      </c>
      <c r="O43" s="13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>
        <f>IFERROR(G44*H44,"")</f>
        <v/>
      </c>
      <c r="K44" s="15">
        <f>IFERROR(J44*(1+I44),"")</f>
        <v/>
      </c>
      <c r="L44" s="15" t="n"/>
      <c r="M44" s="15" t="n"/>
      <c r="N44" s="15">
        <f>IFERROR(L44+K44*M44,"")</f>
        <v/>
      </c>
      <c r="O44" s="15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>
        <f>IFERROR(G45*H45,"")</f>
        <v/>
      </c>
      <c r="K45" s="13">
        <f>IFERROR(J45*(1+I45),"")</f>
        <v/>
      </c>
      <c r="L45" s="13" t="n"/>
      <c r="M45" s="13" t="n"/>
      <c r="N45" s="13">
        <f>IFERROR(L45+K45*M45,"")</f>
        <v/>
      </c>
      <c r="O45" s="13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>
        <f>IFERROR(G46*H46,"")</f>
        <v/>
      </c>
      <c r="K46" s="15">
        <f>IFERROR(J46*(1+I46),"")</f>
        <v/>
      </c>
      <c r="L46" s="15" t="n"/>
      <c r="M46" s="15" t="n"/>
      <c r="N46" s="15">
        <f>IFERROR(L46+K46*M46,"")</f>
        <v/>
      </c>
      <c r="O46" s="15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>
        <f>IFERROR(G47*H47,"")</f>
        <v/>
      </c>
      <c r="K47" s="13">
        <f>IFERROR(J47*(1+I47),"")</f>
        <v/>
      </c>
      <c r="L47" s="13" t="n"/>
      <c r="M47" s="13" t="n"/>
      <c r="N47" s="13">
        <f>IFERROR(L47+K47*M47,"")</f>
        <v/>
      </c>
      <c r="O47" s="13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>
        <f>IFERROR(G48*H48,"")</f>
        <v/>
      </c>
      <c r="K48" s="15">
        <f>IFERROR(J48*(1+I48),"")</f>
        <v/>
      </c>
      <c r="L48" s="15" t="n"/>
      <c r="M48" s="15" t="n"/>
      <c r="N48" s="15">
        <f>IFERROR(L48+K48*M48,"")</f>
        <v/>
      </c>
      <c r="O48" s="15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>
        <f>IFERROR(G49*H49,"")</f>
        <v/>
      </c>
      <c r="K49" s="13">
        <f>IFERROR(J49*(1+I49),"")</f>
        <v/>
      </c>
      <c r="L49" s="13" t="n"/>
      <c r="M49" s="13" t="n"/>
      <c r="N49" s="13">
        <f>IFERROR(L49+K49*M49,"")</f>
        <v/>
      </c>
      <c r="O49" s="13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>
        <f>IFERROR(G50*H50,"")</f>
        <v/>
      </c>
      <c r="K50" s="15">
        <f>IFERROR(J50*(1+I50),"")</f>
        <v/>
      </c>
      <c r="L50" s="15" t="n"/>
      <c r="M50" s="15" t="n"/>
      <c r="N50" s="15">
        <f>IFERROR(L50+K50*M50,"")</f>
        <v/>
      </c>
      <c r="O50" s="15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>
        <f>IFERROR(G51*H51,"")</f>
        <v/>
      </c>
      <c r="K51" s="13">
        <f>IFERROR(J51*(1+I51),"")</f>
        <v/>
      </c>
      <c r="L51" s="13" t="n"/>
      <c r="M51" s="13" t="n"/>
      <c r="N51" s="13">
        <f>IFERROR(L51+K51*M51,"")</f>
        <v/>
      </c>
      <c r="O51" s="13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>
        <f>IFERROR(G52*H52,"")</f>
        <v/>
      </c>
      <c r="K52" s="15">
        <f>IFERROR(J52*(1+I52),"")</f>
        <v/>
      </c>
      <c r="L52" s="15" t="n"/>
      <c r="M52" s="15" t="n"/>
      <c r="N52" s="15">
        <f>IFERROR(L52+K52*M52,"")</f>
        <v/>
      </c>
      <c r="O52" s="15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>
        <f>IFERROR(G53*H53,"")</f>
        <v/>
      </c>
      <c r="K53" s="13">
        <f>IFERROR(J53*(1+I53),"")</f>
        <v/>
      </c>
      <c r="L53" s="13" t="n"/>
      <c r="M53" s="13" t="n"/>
      <c r="N53" s="13">
        <f>IFERROR(L53+K53*M53,"")</f>
        <v/>
      </c>
      <c r="O53" s="13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>
        <f>IFERROR(G54*H54,"")</f>
        <v/>
      </c>
      <c r="K54" s="15">
        <f>IFERROR(J54*(1+I54),"")</f>
        <v/>
      </c>
      <c r="L54" s="15" t="n"/>
      <c r="M54" s="15" t="n"/>
      <c r="N54" s="15">
        <f>IFERROR(L54+K54*M54,"")</f>
        <v/>
      </c>
      <c r="O54" s="15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>
        <f>IFERROR(G55*H55,"")</f>
        <v/>
      </c>
      <c r="K55" s="13">
        <f>IFERROR(J55*(1+I55),"")</f>
        <v/>
      </c>
      <c r="L55" s="13" t="n"/>
      <c r="M55" s="13" t="n"/>
      <c r="N55" s="13">
        <f>IFERROR(L55+K55*M55,"")</f>
        <v/>
      </c>
      <c r="O55" s="13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>
        <f>IFERROR(G56*H56,"")</f>
        <v/>
      </c>
      <c r="K56" s="15">
        <f>IFERROR(J56*(1+I56),"")</f>
        <v/>
      </c>
      <c r="L56" s="15" t="n"/>
      <c r="M56" s="15" t="n"/>
      <c r="N56" s="15">
        <f>IFERROR(L56+K56*M56,"")</f>
        <v/>
      </c>
      <c r="O56" s="15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>
        <f>IFERROR(G57*H57,"")</f>
        <v/>
      </c>
      <c r="K57" s="13">
        <f>IFERROR(J57*(1+I57),"")</f>
        <v/>
      </c>
      <c r="L57" s="13" t="n"/>
      <c r="M57" s="13" t="n"/>
      <c r="N57" s="13">
        <f>IFERROR(L57+K57*M57,"")</f>
        <v/>
      </c>
      <c r="O57" s="13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>
        <f>IFERROR(G58*H58,"")</f>
        <v/>
      </c>
      <c r="K58" s="15">
        <f>IFERROR(J58*(1+I58),"")</f>
        <v/>
      </c>
      <c r="L58" s="15" t="n"/>
      <c r="M58" s="15" t="n"/>
      <c r="N58" s="15">
        <f>IFERROR(L58+K58*M58,"")</f>
        <v/>
      </c>
      <c r="O58" s="15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>
        <f>IFERROR(G59*H59,"")</f>
        <v/>
      </c>
      <c r="K59" s="13">
        <f>IFERROR(J59*(1+I59),"")</f>
        <v/>
      </c>
      <c r="L59" s="13" t="n"/>
      <c r="M59" s="13" t="n"/>
      <c r="N59" s="13">
        <f>IFERROR(L59+K59*M59,"")</f>
        <v/>
      </c>
      <c r="O59" s="13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>
        <f>IFERROR(G60*H60,"")</f>
        <v/>
      </c>
      <c r="K60" s="15">
        <f>IFERROR(J60*(1+I60),"")</f>
        <v/>
      </c>
      <c r="L60" s="15" t="n"/>
      <c r="M60" s="15" t="n"/>
      <c r="N60" s="15">
        <f>IFERROR(L60+K60*M60,"")</f>
        <v/>
      </c>
      <c r="O60" s="15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>
        <f>IFERROR(G61*H61,"")</f>
        <v/>
      </c>
      <c r="K61" s="13">
        <f>IFERROR(J61*(1+I61),"")</f>
        <v/>
      </c>
      <c r="L61" s="13" t="n"/>
      <c r="M61" s="13" t="n"/>
      <c r="N61" s="13">
        <f>IFERROR(L61+K61*M61,"")</f>
        <v/>
      </c>
      <c r="O61" s="13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>
        <f>IFERROR(G62*H62,"")</f>
        <v/>
      </c>
      <c r="K62" s="15">
        <f>IFERROR(J62*(1+I62),"")</f>
        <v/>
      </c>
      <c r="L62" s="15" t="n"/>
      <c r="M62" s="15" t="n"/>
      <c r="N62" s="15">
        <f>IFERROR(L62+K62*M62,"")</f>
        <v/>
      </c>
      <c r="O62" s="15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>
        <f>IFERROR(G63*H63,"")</f>
        <v/>
      </c>
      <c r="K63" s="13">
        <f>IFERROR(J63*(1+I63),"")</f>
        <v/>
      </c>
      <c r="L63" s="13" t="n"/>
      <c r="M63" s="13" t="n"/>
      <c r="N63" s="13">
        <f>IFERROR(L63+K63*M63,"")</f>
        <v/>
      </c>
      <c r="O63" s="13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>
        <f>IFERROR(G64*H64,"")</f>
        <v/>
      </c>
      <c r="K64" s="15">
        <f>IFERROR(J64*(1+I64),"")</f>
        <v/>
      </c>
      <c r="L64" s="15" t="n"/>
      <c r="M64" s="15" t="n"/>
      <c r="N64" s="15">
        <f>IFERROR(L64+K64*M64,"")</f>
        <v/>
      </c>
      <c r="O64" s="15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>
        <f>IFERROR(G65*H65,"")</f>
        <v/>
      </c>
      <c r="K65" s="13">
        <f>IFERROR(J65*(1+I65),"")</f>
        <v/>
      </c>
      <c r="L65" s="13" t="n"/>
      <c r="M65" s="13" t="n"/>
      <c r="N65" s="13">
        <f>IFERROR(L65+K65*M65,"")</f>
        <v/>
      </c>
      <c r="O65" s="13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>
        <f>IFERROR(G66*H66,"")</f>
        <v/>
      </c>
      <c r="K66" s="15">
        <f>IFERROR(J66*(1+I66),"")</f>
        <v/>
      </c>
      <c r="L66" s="15" t="n"/>
      <c r="M66" s="15" t="n"/>
      <c r="N66" s="15">
        <f>IFERROR(L66+K66*M66,"")</f>
        <v/>
      </c>
      <c r="O66" s="15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>
        <f>IFERROR(G67*H67,"")</f>
        <v/>
      </c>
      <c r="K67" s="13">
        <f>IFERROR(J67*(1+I67),"")</f>
        <v/>
      </c>
      <c r="L67" s="13" t="n"/>
      <c r="M67" s="13" t="n"/>
      <c r="N67" s="13">
        <f>IFERROR(L67+K67*M67,"")</f>
        <v/>
      </c>
      <c r="O67" s="13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>
        <f>IFERROR(G68*H68,"")</f>
        <v/>
      </c>
      <c r="K68" s="15">
        <f>IFERROR(J68*(1+I68),"")</f>
        <v/>
      </c>
      <c r="L68" s="15" t="n"/>
      <c r="M68" s="15" t="n"/>
      <c r="N68" s="15">
        <f>IFERROR(L68+K68*M68,"")</f>
        <v/>
      </c>
      <c r="O68" s="15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>
        <f>IFERROR(G69*H69,"")</f>
        <v/>
      </c>
      <c r="K69" s="13">
        <f>IFERROR(J69*(1+I69),"")</f>
        <v/>
      </c>
      <c r="L69" s="13" t="n"/>
      <c r="M69" s="13" t="n"/>
      <c r="N69" s="13">
        <f>IFERROR(L69+K69*M69,"")</f>
        <v/>
      </c>
      <c r="O69" s="13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>
        <f>IFERROR(G70*H70,"")</f>
        <v/>
      </c>
      <c r="K70" s="15">
        <f>IFERROR(J70*(1+I70),"")</f>
        <v/>
      </c>
      <c r="L70" s="15" t="n"/>
      <c r="M70" s="15" t="n"/>
      <c r="N70" s="15">
        <f>IFERROR(L70+K70*M70,"")</f>
        <v/>
      </c>
      <c r="O70" s="15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>
        <f>IFERROR(G71*H71,"")</f>
        <v/>
      </c>
      <c r="K71" s="13">
        <f>IFERROR(J71*(1+I71),"")</f>
        <v/>
      </c>
      <c r="L71" s="13" t="n"/>
      <c r="M71" s="13" t="n"/>
      <c r="N71" s="13">
        <f>IFERROR(L71+K71*M71,"")</f>
        <v/>
      </c>
      <c r="O71" s="13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>
        <f>IFERROR(G72*H72,"")</f>
        <v/>
      </c>
      <c r="K72" s="15">
        <f>IFERROR(J72*(1+I72),"")</f>
        <v/>
      </c>
      <c r="L72" s="15" t="n"/>
      <c r="M72" s="15" t="n"/>
      <c r="N72" s="15">
        <f>IFERROR(L72+K72*M72,"")</f>
        <v/>
      </c>
      <c r="O72" s="15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>
        <f>IFERROR(G73*H73,"")</f>
        <v/>
      </c>
      <c r="K73" s="13">
        <f>IFERROR(J73*(1+I73),"")</f>
        <v/>
      </c>
      <c r="L73" s="13" t="n"/>
      <c r="M73" s="13" t="n"/>
      <c r="N73" s="13">
        <f>IFERROR(L73+K73*M73,"")</f>
        <v/>
      </c>
      <c r="O73" s="13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>
        <f>IFERROR(G74*H74,"")</f>
        <v/>
      </c>
      <c r="K74" s="15">
        <f>IFERROR(J74*(1+I74),"")</f>
        <v/>
      </c>
      <c r="L74" s="15" t="n"/>
      <c r="M74" s="15" t="n"/>
      <c r="N74" s="15">
        <f>IFERROR(L74+K74*M74,"")</f>
        <v/>
      </c>
      <c r="O74" s="15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>
        <f>IFERROR(G75*H75,"")</f>
        <v/>
      </c>
      <c r="K75" s="13">
        <f>IFERROR(J75*(1+I75),"")</f>
        <v/>
      </c>
      <c r="L75" s="13" t="n"/>
      <c r="M75" s="13" t="n"/>
      <c r="N75" s="13">
        <f>IFERROR(L75+K75*M75,"")</f>
        <v/>
      </c>
      <c r="O75" s="13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>
        <f>IFERROR(G76*H76,"")</f>
        <v/>
      </c>
      <c r="K76" s="15">
        <f>IFERROR(J76*(1+I76),"")</f>
        <v/>
      </c>
      <c r="L76" s="15" t="n"/>
      <c r="M76" s="15" t="n"/>
      <c r="N76" s="15">
        <f>IFERROR(L76+K76*M76,"")</f>
        <v/>
      </c>
      <c r="O76" s="15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>
        <f>IFERROR(G77*H77,"")</f>
        <v/>
      </c>
      <c r="K77" s="13">
        <f>IFERROR(J77*(1+I77),"")</f>
        <v/>
      </c>
      <c r="L77" s="13" t="n"/>
      <c r="M77" s="13" t="n"/>
      <c r="N77" s="13">
        <f>IFERROR(L77+K77*M77,"")</f>
        <v/>
      </c>
      <c r="O77" s="13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>
        <f>IFERROR(G78*H78,"")</f>
        <v/>
      </c>
      <c r="K78" s="15">
        <f>IFERROR(J78*(1+I78),"")</f>
        <v/>
      </c>
      <c r="L78" s="15" t="n"/>
      <c r="M78" s="15" t="n"/>
      <c r="N78" s="15">
        <f>IFERROR(L78+K78*M78,"")</f>
        <v/>
      </c>
      <c r="O78" s="15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>
        <f>IFERROR(G79*H79,"")</f>
        <v/>
      </c>
      <c r="K79" s="13">
        <f>IFERROR(J79*(1+I79),"")</f>
        <v/>
      </c>
      <c r="L79" s="13" t="n"/>
      <c r="M79" s="13" t="n"/>
      <c r="N79" s="13">
        <f>IFERROR(L79+K79*M79,"")</f>
        <v/>
      </c>
      <c r="O79" s="13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>
        <f>IFERROR(G80*H80,"")</f>
        <v/>
      </c>
      <c r="K80" s="15">
        <f>IFERROR(J80*(1+I80),"")</f>
        <v/>
      </c>
      <c r="L80" s="15" t="n"/>
      <c r="M80" s="15" t="n"/>
      <c r="N80" s="15">
        <f>IFERROR(L80+K80*M80,"")</f>
        <v/>
      </c>
      <c r="O80" s="15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>
        <f>IFERROR(G81*H81,"")</f>
        <v/>
      </c>
      <c r="K81" s="13">
        <f>IFERROR(J81*(1+I81),"")</f>
        <v/>
      </c>
      <c r="L81" s="13" t="n"/>
      <c r="M81" s="13" t="n"/>
      <c r="N81" s="13">
        <f>IFERROR(L81+K81*M81,"")</f>
        <v/>
      </c>
      <c r="O81" s="13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>
        <f>IFERROR(G82*H82,"")</f>
        <v/>
      </c>
      <c r="K82" s="15">
        <f>IFERROR(J82*(1+I82),"")</f>
        <v/>
      </c>
      <c r="L82" s="15" t="n"/>
      <c r="M82" s="15" t="n"/>
      <c r="N82" s="15">
        <f>IFERROR(L82+K82*M82,"")</f>
        <v/>
      </c>
      <c r="O82" s="15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>
        <f>IFERROR(G83*H83,"")</f>
        <v/>
      </c>
      <c r="K83" s="13">
        <f>IFERROR(J83*(1+I83),"")</f>
        <v/>
      </c>
      <c r="L83" s="13" t="n"/>
      <c r="M83" s="13" t="n"/>
      <c r="N83" s="13">
        <f>IFERROR(L83+K83*M83,"")</f>
        <v/>
      </c>
      <c r="O83" s="13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>
        <f>IFERROR(G84*H84,"")</f>
        <v/>
      </c>
      <c r="K84" s="15">
        <f>IFERROR(J84*(1+I84),"")</f>
        <v/>
      </c>
      <c r="L84" s="15" t="n"/>
      <c r="M84" s="15" t="n"/>
      <c r="N84" s="15">
        <f>IFERROR(L84+K84*M84,"")</f>
        <v/>
      </c>
      <c r="O84" s="15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>
        <f>IFERROR(G85*H85,"")</f>
        <v/>
      </c>
      <c r="K85" s="13">
        <f>IFERROR(J85*(1+I85),"")</f>
        <v/>
      </c>
      <c r="L85" s="13" t="n"/>
      <c r="M85" s="13" t="n"/>
      <c r="N85" s="13">
        <f>IFERROR(L85+K85*M85,"")</f>
        <v/>
      </c>
      <c r="O85" s="13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>
        <f>IFERROR(G86*H86,"")</f>
        <v/>
      </c>
      <c r="K86" s="15">
        <f>IFERROR(J86*(1+I86),"")</f>
        <v/>
      </c>
      <c r="L86" s="15" t="n"/>
      <c r="M86" s="15" t="n"/>
      <c r="N86" s="15">
        <f>IFERROR(L86+K86*M86,"")</f>
        <v/>
      </c>
      <c r="O86" s="15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>
        <f>IFERROR(G87*H87,"")</f>
        <v/>
      </c>
      <c r="K87" s="13">
        <f>IFERROR(J87*(1+I87),"")</f>
        <v/>
      </c>
      <c r="L87" s="13" t="n"/>
      <c r="M87" s="13" t="n"/>
      <c r="N87" s="13">
        <f>IFERROR(L87+K87*M87,"")</f>
        <v/>
      </c>
      <c r="O87" s="13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>
        <f>IFERROR(G88*H88,"")</f>
        <v/>
      </c>
      <c r="K88" s="15">
        <f>IFERROR(J88*(1+I88),"")</f>
        <v/>
      </c>
      <c r="L88" s="15" t="n"/>
      <c r="M88" s="15" t="n"/>
      <c r="N88" s="15">
        <f>IFERROR(L88+K88*M88,"")</f>
        <v/>
      </c>
      <c r="O88" s="15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>
        <f>IFERROR(G89*H89,"")</f>
        <v/>
      </c>
      <c r="K89" s="13">
        <f>IFERROR(J89*(1+I89),"")</f>
        <v/>
      </c>
      <c r="L89" s="13" t="n"/>
      <c r="M89" s="13" t="n"/>
      <c r="N89" s="13">
        <f>IFERROR(L89+K89*M89,"")</f>
        <v/>
      </c>
      <c r="O89" s="13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>
        <f>IFERROR(G90*H90,"")</f>
        <v/>
      </c>
      <c r="K90" s="15">
        <f>IFERROR(J90*(1+I90),"")</f>
        <v/>
      </c>
      <c r="L90" s="15" t="n"/>
      <c r="M90" s="15" t="n"/>
      <c r="N90" s="15">
        <f>IFERROR(L90+K90*M90,"")</f>
        <v/>
      </c>
      <c r="O90" s="15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>
        <f>IFERROR(G91*H91,"")</f>
        <v/>
      </c>
      <c r="K91" s="13">
        <f>IFERROR(J91*(1+I91),"")</f>
        <v/>
      </c>
      <c r="L91" s="13" t="n"/>
      <c r="M91" s="13" t="n"/>
      <c r="N91" s="13">
        <f>IFERROR(L91+K91*M91,"")</f>
        <v/>
      </c>
      <c r="O91" s="13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>
        <f>IFERROR(G92*H92,"")</f>
        <v/>
      </c>
      <c r="K92" s="15">
        <f>IFERROR(J92*(1+I92),"")</f>
        <v/>
      </c>
      <c r="L92" s="15" t="n"/>
      <c r="M92" s="15" t="n"/>
      <c r="N92" s="15">
        <f>IFERROR(L92+K92*M92,"")</f>
        <v/>
      </c>
      <c r="O92" s="15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>
        <f>IFERROR(G93*H93,"")</f>
        <v/>
      </c>
      <c r="K93" s="13">
        <f>IFERROR(J93*(1+I93),"")</f>
        <v/>
      </c>
      <c r="L93" s="13" t="n"/>
      <c r="M93" s="13" t="n"/>
      <c r="N93" s="13">
        <f>IFERROR(L93+K93*M93,"")</f>
        <v/>
      </c>
      <c r="O93" s="13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>
        <f>IFERROR(G94*H94,"")</f>
        <v/>
      </c>
      <c r="K94" s="15">
        <f>IFERROR(J94*(1+I94),"")</f>
        <v/>
      </c>
      <c r="L94" s="15" t="n"/>
      <c r="M94" s="15" t="n"/>
      <c r="N94" s="15">
        <f>IFERROR(L94+K94*M94,"")</f>
        <v/>
      </c>
      <c r="O94" s="15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>
        <f>IFERROR(G95*H95,"")</f>
        <v/>
      </c>
      <c r="K95" s="13">
        <f>IFERROR(J95*(1+I95),"")</f>
        <v/>
      </c>
      <c r="L95" s="13" t="n"/>
      <c r="M95" s="13" t="n"/>
      <c r="N95" s="13">
        <f>IFERROR(L95+K95*M95,"")</f>
        <v/>
      </c>
      <c r="O95" s="13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>
        <f>IFERROR(G96*H96,"")</f>
        <v/>
      </c>
      <c r="K96" s="15">
        <f>IFERROR(J96*(1+I96),"")</f>
        <v/>
      </c>
      <c r="L96" s="15" t="n"/>
      <c r="M96" s="15" t="n"/>
      <c r="N96" s="15">
        <f>IFERROR(L96+K96*M96,"")</f>
        <v/>
      </c>
      <c r="O96" s="15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>
        <f>IFERROR(G97*H97,"")</f>
        <v/>
      </c>
      <c r="K97" s="13">
        <f>IFERROR(J97*(1+I97),"")</f>
        <v/>
      </c>
      <c r="L97" s="13" t="n"/>
      <c r="M97" s="13" t="n"/>
      <c r="N97" s="13">
        <f>IFERROR(L97+K97*M97,"")</f>
        <v/>
      </c>
      <c r="O97" s="13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>
        <f>IFERROR(G98*H98,"")</f>
        <v/>
      </c>
      <c r="K98" s="15">
        <f>IFERROR(J98*(1+I98),"")</f>
        <v/>
      </c>
      <c r="L98" s="15" t="n"/>
      <c r="M98" s="15" t="n"/>
      <c r="N98" s="15">
        <f>IFERROR(L98+K98*M98,"")</f>
        <v/>
      </c>
      <c r="O98" s="15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>
        <f>IFERROR(G99*H99,"")</f>
        <v/>
      </c>
      <c r="K99" s="13">
        <f>IFERROR(J99*(1+I99),"")</f>
        <v/>
      </c>
      <c r="L99" s="13" t="n"/>
      <c r="M99" s="13" t="n"/>
      <c r="N99" s="13">
        <f>IFERROR(L99+K99*M99,"")</f>
        <v/>
      </c>
      <c r="O99" s="13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>
        <f>IFERROR(G100*H100,"")</f>
        <v/>
      </c>
      <c r="K100" s="15">
        <f>IFERROR(J100*(1+I100),"")</f>
        <v/>
      </c>
      <c r="L100" s="15" t="n"/>
      <c r="M100" s="15" t="n"/>
      <c r="N100" s="15">
        <f>IFERROR(L100+K100*M100,"")</f>
        <v/>
      </c>
      <c r="O100" s="15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>
        <f>IFERROR(G101*H101,"")</f>
        <v/>
      </c>
      <c r="K101" s="13">
        <f>IFERROR(J101*(1+I101),"")</f>
        <v/>
      </c>
      <c r="L101" s="13" t="n"/>
      <c r="M101" s="13" t="n"/>
      <c r="N101" s="13">
        <f>IFERROR(L101+K101*M101,"")</f>
        <v/>
      </c>
      <c r="O101" s="13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>
        <f>IFERROR(G102*H102,"")</f>
        <v/>
      </c>
      <c r="K102" s="15">
        <f>IFERROR(J102*(1+I102),"")</f>
        <v/>
      </c>
      <c r="L102" s="15" t="n"/>
      <c r="M102" s="15" t="n"/>
      <c r="N102" s="15">
        <f>IFERROR(L102+K102*M102,"")</f>
        <v/>
      </c>
      <c r="O102" s="15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>
        <f>IFERROR(G103*H103,"")</f>
        <v/>
      </c>
      <c r="K103" s="13">
        <f>IFERROR(J103*(1+I103),"")</f>
        <v/>
      </c>
      <c r="L103" s="13" t="n"/>
      <c r="M103" s="13" t="n"/>
      <c r="N103" s="13">
        <f>IFERROR(L103+K103*M103,"")</f>
        <v/>
      </c>
      <c r="O103" s="13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>
        <f>IFERROR(G104*H104,"")</f>
        <v/>
      </c>
      <c r="K104" s="15">
        <f>IFERROR(J104*(1+I104),"")</f>
        <v/>
      </c>
      <c r="L104" s="15" t="n"/>
      <c r="M104" s="15" t="n"/>
      <c r="N104" s="15">
        <f>IFERROR(L104+K104*M104,"")</f>
        <v/>
      </c>
      <c r="O104" s="15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>
        <f>IFERROR(G105*H105,"")</f>
        <v/>
      </c>
      <c r="K105" s="13">
        <f>IFERROR(J105*(1+I105),"")</f>
        <v/>
      </c>
      <c r="L105" s="13" t="n"/>
      <c r="M105" s="13" t="n"/>
      <c r="N105" s="13">
        <f>IFERROR(L105+K105*M105,"")</f>
        <v/>
      </c>
      <c r="O105" s="13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>
        <f>IFERROR(G106*H106,"")</f>
        <v/>
      </c>
      <c r="K106" s="15">
        <f>IFERROR(J106*(1+I106),"")</f>
        <v/>
      </c>
      <c r="L106" s="15" t="n"/>
      <c r="M106" s="15" t="n"/>
      <c r="N106" s="15">
        <f>IFERROR(L106+K106*M106,"")</f>
        <v/>
      </c>
      <c r="O106" s="15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>
        <f>IFERROR(G107*H107,"")</f>
        <v/>
      </c>
      <c r="K107" s="13">
        <f>IFERROR(J107*(1+I107),"")</f>
        <v/>
      </c>
      <c r="L107" s="13" t="n"/>
      <c r="M107" s="13" t="n"/>
      <c r="N107" s="13">
        <f>IFERROR(L107+K107*M107,"")</f>
        <v/>
      </c>
      <c r="O107" s="13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>
        <f>IFERROR(G108*H108,"")</f>
        <v/>
      </c>
      <c r="K108" s="15">
        <f>IFERROR(J108*(1+I108),"")</f>
        <v/>
      </c>
      <c r="L108" s="15" t="n"/>
      <c r="M108" s="15" t="n"/>
      <c r="N108" s="15">
        <f>IFERROR(L108+K108*M108,"")</f>
        <v/>
      </c>
      <c r="O108" s="15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>
        <f>IFERROR(G109*H109,"")</f>
        <v/>
      </c>
      <c r="K109" s="13">
        <f>IFERROR(J109*(1+I109),"")</f>
        <v/>
      </c>
      <c r="L109" s="13" t="n"/>
      <c r="M109" s="13" t="n"/>
      <c r="N109" s="13">
        <f>IFERROR(L109+K109*M109,"")</f>
        <v/>
      </c>
      <c r="O109" s="13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>
        <f>IFERROR(G110*H110,"")</f>
        <v/>
      </c>
      <c r="K110" s="15">
        <f>IFERROR(J110*(1+I110),"")</f>
        <v/>
      </c>
      <c r="L110" s="15" t="n"/>
      <c r="M110" s="15" t="n"/>
      <c r="N110" s="15">
        <f>IFERROR(L110+K110*M110,"")</f>
        <v/>
      </c>
      <c r="O110" s="15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>
        <f>IFERROR(G111*H111,"")</f>
        <v/>
      </c>
      <c r="K111" s="13">
        <f>IFERROR(J111*(1+I111),"")</f>
        <v/>
      </c>
      <c r="L111" s="13" t="n"/>
      <c r="M111" s="13" t="n"/>
      <c r="N111" s="13">
        <f>IFERROR(L111+K111*M111,"")</f>
        <v/>
      </c>
      <c r="O111" s="13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>
        <f>IFERROR(G112*H112,"")</f>
        <v/>
      </c>
      <c r="K112" s="15">
        <f>IFERROR(J112*(1+I112),"")</f>
        <v/>
      </c>
      <c r="L112" s="15" t="n"/>
      <c r="M112" s="15" t="n"/>
      <c r="N112" s="15">
        <f>IFERROR(L112+K112*M112,"")</f>
        <v/>
      </c>
      <c r="O112" s="15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>
        <f>IFERROR(G113*H113,"")</f>
        <v/>
      </c>
      <c r="K113" s="13">
        <f>IFERROR(J113*(1+I113),"")</f>
        <v/>
      </c>
      <c r="L113" s="13" t="n"/>
      <c r="M113" s="13" t="n"/>
      <c r="N113" s="13">
        <f>IFERROR(L113+K113*M113,"")</f>
        <v/>
      </c>
      <c r="O113" s="13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>
        <f>IFERROR(G114*H114,"")</f>
        <v/>
      </c>
      <c r="K114" s="15">
        <f>IFERROR(J114*(1+I114),"")</f>
        <v/>
      </c>
      <c r="L114" s="15" t="n"/>
      <c r="M114" s="15" t="n"/>
      <c r="N114" s="15">
        <f>IFERROR(L114+K114*M114,"")</f>
        <v/>
      </c>
      <c r="O114" s="15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>
        <f>IFERROR(G115*H115,"")</f>
        <v/>
      </c>
      <c r="K115" s="13">
        <f>IFERROR(J115*(1+I115),"")</f>
        <v/>
      </c>
      <c r="L115" s="13" t="n"/>
      <c r="M115" s="13" t="n"/>
      <c r="N115" s="13">
        <f>IFERROR(L115+K115*M115,"")</f>
        <v/>
      </c>
      <c r="O115" s="13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>
        <f>IFERROR(G116*H116,"")</f>
        <v/>
      </c>
      <c r="K116" s="15">
        <f>IFERROR(J116*(1+I116),"")</f>
        <v/>
      </c>
      <c r="L116" s="15" t="n"/>
      <c r="M116" s="15" t="n"/>
      <c r="N116" s="15">
        <f>IFERROR(L116+K116*M116,"")</f>
        <v/>
      </c>
      <c r="O116" s="15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>
        <f>IFERROR(G117*H117,"")</f>
        <v/>
      </c>
      <c r="K117" s="13">
        <f>IFERROR(J117*(1+I117),"")</f>
        <v/>
      </c>
      <c r="L117" s="13" t="n"/>
      <c r="M117" s="13" t="n"/>
      <c r="N117" s="13">
        <f>IFERROR(L117+K117*M117,"")</f>
        <v/>
      </c>
      <c r="O117" s="13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>
        <f>IFERROR(G118*H118,"")</f>
        <v/>
      </c>
      <c r="K118" s="15">
        <f>IFERROR(J118*(1+I118),"")</f>
        <v/>
      </c>
      <c r="L118" s="15" t="n"/>
      <c r="M118" s="15" t="n"/>
      <c r="N118" s="15">
        <f>IFERROR(L118+K118*M118,"")</f>
        <v/>
      </c>
      <c r="O118" s="15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>
        <f>IFERROR(G119*H119,"")</f>
        <v/>
      </c>
      <c r="K119" s="13">
        <f>IFERROR(J119*(1+I119),"")</f>
        <v/>
      </c>
      <c r="L119" s="13" t="n"/>
      <c r="M119" s="13" t="n"/>
      <c r="N119" s="13">
        <f>IFERROR(L119+K119*M119,"")</f>
        <v/>
      </c>
      <c r="O119" s="13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>
        <f>IFERROR(G120*H120,"")</f>
        <v/>
      </c>
      <c r="K120" s="15">
        <f>IFERROR(J120*(1+I120),"")</f>
        <v/>
      </c>
      <c r="L120" s="15" t="n"/>
      <c r="M120" s="15" t="n"/>
      <c r="N120" s="15">
        <f>IFERROR(L120+K120*M120,"")</f>
        <v/>
      </c>
      <c r="O120" s="15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>
        <f>IFERROR(G121*H121,"")</f>
        <v/>
      </c>
      <c r="K121" s="13">
        <f>IFERROR(J121*(1+I121),"")</f>
        <v/>
      </c>
      <c r="L121" s="13" t="n"/>
      <c r="M121" s="13" t="n"/>
      <c r="N121" s="13">
        <f>IFERROR(L121+K121*M121,"")</f>
        <v/>
      </c>
      <c r="O121" s="13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>
        <f>IFERROR(G122*H122,"")</f>
        <v/>
      </c>
      <c r="K122" s="15">
        <f>IFERROR(J122*(1+I122),"")</f>
        <v/>
      </c>
      <c r="L122" s="15" t="n"/>
      <c r="M122" s="15" t="n"/>
      <c r="N122" s="15">
        <f>IFERROR(L122+K122*M122,"")</f>
        <v/>
      </c>
      <c r="O122" s="15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>
        <f>IFERROR(G123*H123,"")</f>
        <v/>
      </c>
      <c r="K123" s="13">
        <f>IFERROR(J123*(1+I123),"")</f>
        <v/>
      </c>
      <c r="L123" s="13" t="n"/>
      <c r="M123" s="13" t="n"/>
      <c r="N123" s="13">
        <f>IFERROR(L123+K123*M123,"")</f>
        <v/>
      </c>
      <c r="O123" s="13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>
        <f>IFERROR(G124*H124,"")</f>
        <v/>
      </c>
      <c r="K124" s="15">
        <f>IFERROR(J124*(1+I124),"")</f>
        <v/>
      </c>
      <c r="L124" s="15" t="n"/>
      <c r="M124" s="15" t="n"/>
      <c r="N124" s="15">
        <f>IFERROR(L124+K124*M124,"")</f>
        <v/>
      </c>
      <c r="O124" s="15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>
        <f>IFERROR(G125*H125,"")</f>
        <v/>
      </c>
      <c r="K125" s="13">
        <f>IFERROR(J125*(1+I125),"")</f>
        <v/>
      </c>
      <c r="L125" s="13" t="n"/>
      <c r="M125" s="13" t="n"/>
      <c r="N125" s="13">
        <f>IFERROR(L125+K125*M125,"")</f>
        <v/>
      </c>
      <c r="O125" s="13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>
        <f>IFERROR(G126*H126,"")</f>
        <v/>
      </c>
      <c r="K126" s="15">
        <f>IFERROR(J126*(1+I126),"")</f>
        <v/>
      </c>
      <c r="L126" s="15" t="n"/>
      <c r="M126" s="15" t="n"/>
      <c r="N126" s="15">
        <f>IFERROR(L126+K126*M126,"")</f>
        <v/>
      </c>
      <c r="O126" s="15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>
        <f>IFERROR(G127*H127,"")</f>
        <v/>
      </c>
      <c r="K127" s="13">
        <f>IFERROR(J127*(1+I127),"")</f>
        <v/>
      </c>
      <c r="L127" s="13" t="n"/>
      <c r="M127" s="13" t="n"/>
      <c r="N127" s="13">
        <f>IFERROR(L127+K127*M127,"")</f>
        <v/>
      </c>
      <c r="O127" s="13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>
        <f>IFERROR(G128*H128,"")</f>
        <v/>
      </c>
      <c r="K128" s="15">
        <f>IFERROR(J128*(1+I128),"")</f>
        <v/>
      </c>
      <c r="L128" s="15" t="n"/>
      <c r="M128" s="15" t="n"/>
      <c r="N128" s="15">
        <f>IFERROR(L128+K128*M128,"")</f>
        <v/>
      </c>
      <c r="O128" s="15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>
        <f>IFERROR(G129*H129,"")</f>
        <v/>
      </c>
      <c r="K129" s="13">
        <f>IFERROR(J129*(1+I129),"")</f>
        <v/>
      </c>
      <c r="L129" s="13" t="n"/>
      <c r="M129" s="13" t="n"/>
      <c r="N129" s="13">
        <f>IFERROR(L129+K129*M129,"")</f>
        <v/>
      </c>
      <c r="O129" s="13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>
        <f>IFERROR(G130*H130,"")</f>
        <v/>
      </c>
      <c r="K130" s="15">
        <f>IFERROR(J130*(1+I130),"")</f>
        <v/>
      </c>
      <c r="L130" s="15" t="n"/>
      <c r="M130" s="15" t="n"/>
      <c r="N130" s="15">
        <f>IFERROR(L130+K130*M130,"")</f>
        <v/>
      </c>
      <c r="O130" s="15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>
        <f>IFERROR(G131*H131,"")</f>
        <v/>
      </c>
      <c r="K131" s="13">
        <f>IFERROR(J131*(1+I131),"")</f>
        <v/>
      </c>
      <c r="L131" s="13" t="n"/>
      <c r="M131" s="13" t="n"/>
      <c r="N131" s="13">
        <f>IFERROR(L131+K131*M131,"")</f>
        <v/>
      </c>
      <c r="O131" s="13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>
        <f>IFERROR(G132*H132,"")</f>
        <v/>
      </c>
      <c r="K132" s="15">
        <f>IFERROR(J132*(1+I132),"")</f>
        <v/>
      </c>
      <c r="L132" s="15" t="n"/>
      <c r="M132" s="15" t="n"/>
      <c r="N132" s="15">
        <f>IFERROR(L132+K132*M132,"")</f>
        <v/>
      </c>
      <c r="O132" s="15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>
        <f>IFERROR(G133*H133,"")</f>
        <v/>
      </c>
      <c r="K133" s="13">
        <f>IFERROR(J133*(1+I133),"")</f>
        <v/>
      </c>
      <c r="L133" s="13" t="n"/>
      <c r="M133" s="13" t="n"/>
      <c r="N133" s="13">
        <f>IFERROR(L133+K133*M133,"")</f>
        <v/>
      </c>
      <c r="O133" s="13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>
        <f>IFERROR(G134*H134,"")</f>
        <v/>
      </c>
      <c r="K134" s="15">
        <f>IFERROR(J134*(1+I134),"")</f>
        <v/>
      </c>
      <c r="L134" s="15" t="n"/>
      <c r="M134" s="15" t="n"/>
      <c r="N134" s="15">
        <f>IFERROR(L134+K134*M134,"")</f>
        <v/>
      </c>
      <c r="O134" s="15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>
        <f>IFERROR(G135*H135,"")</f>
        <v/>
      </c>
      <c r="K135" s="13">
        <f>IFERROR(J135*(1+I135),"")</f>
        <v/>
      </c>
      <c r="L135" s="13" t="n"/>
      <c r="M135" s="13" t="n"/>
      <c r="N135" s="13">
        <f>IFERROR(L135+K135*M135,"")</f>
        <v/>
      </c>
      <c r="O135" s="13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>
        <f>IFERROR(G136*H136,"")</f>
        <v/>
      </c>
      <c r="K136" s="15">
        <f>IFERROR(J136*(1+I136),"")</f>
        <v/>
      </c>
      <c r="L136" s="15" t="n"/>
      <c r="M136" s="15" t="n"/>
      <c r="N136" s="15">
        <f>IFERROR(L136+K136*M136,"")</f>
        <v/>
      </c>
      <c r="O136" s="15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>
        <f>IFERROR(G137*H137,"")</f>
        <v/>
      </c>
      <c r="K137" s="13">
        <f>IFERROR(J137*(1+I137),"")</f>
        <v/>
      </c>
      <c r="L137" s="13" t="n"/>
      <c r="M137" s="13" t="n"/>
      <c r="N137" s="13">
        <f>IFERROR(L137+K137*M137,"")</f>
        <v/>
      </c>
      <c r="O137" s="13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>
        <f>IFERROR(G138*H138,"")</f>
        <v/>
      </c>
      <c r="K138" s="15">
        <f>IFERROR(J138*(1+I138),"")</f>
        <v/>
      </c>
      <c r="L138" s="15" t="n"/>
      <c r="M138" s="15" t="n"/>
      <c r="N138" s="15">
        <f>IFERROR(L138+K138*M138,"")</f>
        <v/>
      </c>
      <c r="O138" s="15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>
        <f>IFERROR(G139*H139,"")</f>
        <v/>
      </c>
      <c r="K139" s="13">
        <f>IFERROR(J139*(1+I139),"")</f>
        <v/>
      </c>
      <c r="L139" s="13" t="n"/>
      <c r="M139" s="13" t="n"/>
      <c r="N139" s="13">
        <f>IFERROR(L139+K139*M139,"")</f>
        <v/>
      </c>
      <c r="O139" s="13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>
        <f>IFERROR(G140*H140,"")</f>
        <v/>
      </c>
      <c r="K140" s="15">
        <f>IFERROR(J140*(1+I140),"")</f>
        <v/>
      </c>
      <c r="L140" s="15" t="n"/>
      <c r="M140" s="15" t="n"/>
      <c r="N140" s="15">
        <f>IFERROR(L140+K140*M140,"")</f>
        <v/>
      </c>
      <c r="O140" s="15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>
        <f>IFERROR(G141*H141,"")</f>
        <v/>
      </c>
      <c r="K141" s="13">
        <f>IFERROR(J141*(1+I141),"")</f>
        <v/>
      </c>
      <c r="L141" s="13" t="n"/>
      <c r="M141" s="13" t="n"/>
      <c r="N141" s="13">
        <f>IFERROR(L141+K141*M141,"")</f>
        <v/>
      </c>
      <c r="O141" s="13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>
        <f>IFERROR(G142*H142,"")</f>
        <v/>
      </c>
      <c r="K142" s="15">
        <f>IFERROR(J142*(1+I142),"")</f>
        <v/>
      </c>
      <c r="L142" s="15" t="n"/>
      <c r="M142" s="15" t="n"/>
      <c r="N142" s="15">
        <f>IFERROR(L142+K142*M142,"")</f>
        <v/>
      </c>
      <c r="O142" s="15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>
        <f>IFERROR(G143*H143,"")</f>
        <v/>
      </c>
      <c r="K143" s="13">
        <f>IFERROR(J143*(1+I143),"")</f>
        <v/>
      </c>
      <c r="L143" s="13" t="n"/>
      <c r="M143" s="13" t="n"/>
      <c r="N143" s="13">
        <f>IFERROR(L143+K143*M143,"")</f>
        <v/>
      </c>
      <c r="O143" s="13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>
        <f>IFERROR(G144*H144,"")</f>
        <v/>
      </c>
      <c r="K144" s="15">
        <f>IFERROR(J144*(1+I144),"")</f>
        <v/>
      </c>
      <c r="L144" s="15" t="n"/>
      <c r="M144" s="15" t="n"/>
      <c r="N144" s="15">
        <f>IFERROR(L144+K144*M144,"")</f>
        <v/>
      </c>
      <c r="O144" s="15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>
        <f>IFERROR(G145*H145,"")</f>
        <v/>
      </c>
      <c r="K145" s="13">
        <f>IFERROR(J145*(1+I145),"")</f>
        <v/>
      </c>
      <c r="L145" s="13" t="n"/>
      <c r="M145" s="13" t="n"/>
      <c r="N145" s="13">
        <f>IFERROR(L145+K145*M145,"")</f>
        <v/>
      </c>
      <c r="O145" s="13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>
        <f>IFERROR(G146*H146,"")</f>
        <v/>
      </c>
      <c r="K146" s="15">
        <f>IFERROR(J146*(1+I146),"")</f>
        <v/>
      </c>
      <c r="L146" s="15" t="n"/>
      <c r="M146" s="15" t="n"/>
      <c r="N146" s="15">
        <f>IFERROR(L146+K146*M146,"")</f>
        <v/>
      </c>
      <c r="O146" s="15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>
        <f>IFERROR(G147*H147,"")</f>
        <v/>
      </c>
      <c r="K147" s="13">
        <f>IFERROR(J147*(1+I147),"")</f>
        <v/>
      </c>
      <c r="L147" s="13" t="n"/>
      <c r="M147" s="13" t="n"/>
      <c r="N147" s="13">
        <f>IFERROR(L147+K147*M147,"")</f>
        <v/>
      </c>
      <c r="O147" s="13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>
        <f>IFERROR(G148*H148,"")</f>
        <v/>
      </c>
      <c r="K148" s="15">
        <f>IFERROR(J148*(1+I148),"")</f>
        <v/>
      </c>
      <c r="L148" s="15" t="n"/>
      <c r="M148" s="15" t="n"/>
      <c r="N148" s="15">
        <f>IFERROR(L148+K148*M148,"")</f>
        <v/>
      </c>
      <c r="O148" s="15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>
        <f>IFERROR(G149*H149,"")</f>
        <v/>
      </c>
      <c r="K149" s="13">
        <f>IFERROR(J149*(1+I149),"")</f>
        <v/>
      </c>
      <c r="L149" s="13" t="n"/>
      <c r="M149" s="13" t="n"/>
      <c r="N149" s="13">
        <f>IFERROR(L149+K149*M149,"")</f>
        <v/>
      </c>
      <c r="O149" s="13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>
        <f>IFERROR(G150*H150,"")</f>
        <v/>
      </c>
      <c r="K150" s="15">
        <f>IFERROR(J150*(1+I150),"")</f>
        <v/>
      </c>
      <c r="L150" s="15" t="n"/>
      <c r="M150" s="15" t="n"/>
      <c r="N150" s="15">
        <f>IFERROR(L150+K150*M150,"")</f>
        <v/>
      </c>
      <c r="O150" s="15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>
        <f>IFERROR(G151*H151,"")</f>
        <v/>
      </c>
      <c r="K151" s="13">
        <f>IFERROR(J151*(1+I151),"")</f>
        <v/>
      </c>
      <c r="L151" s="13" t="n"/>
      <c r="M151" s="13" t="n"/>
      <c r="N151" s="13">
        <f>IFERROR(L151+K151*M151,"")</f>
        <v/>
      </c>
      <c r="O151" s="13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>
        <f>IFERROR(G152*H152,"")</f>
        <v/>
      </c>
      <c r="K152" s="15">
        <f>IFERROR(J152*(1+I152),"")</f>
        <v/>
      </c>
      <c r="L152" s="15" t="n"/>
      <c r="M152" s="15" t="n"/>
      <c r="N152" s="15">
        <f>IFERROR(L152+K152*M152,"")</f>
        <v/>
      </c>
      <c r="O152" s="15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>
        <f>IFERROR(G153*H153,"")</f>
        <v/>
      </c>
      <c r="K153" s="13">
        <f>IFERROR(J153*(1+I153),"")</f>
        <v/>
      </c>
      <c r="L153" s="13" t="n"/>
      <c r="M153" s="13" t="n"/>
      <c r="N153" s="13">
        <f>IFERROR(L153+K153*M153,"")</f>
        <v/>
      </c>
      <c r="O153" s="13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>
        <f>IFERROR(G154*H154,"")</f>
        <v/>
      </c>
      <c r="K154" s="15">
        <f>IFERROR(J154*(1+I154),"")</f>
        <v/>
      </c>
      <c r="L154" s="15" t="n"/>
      <c r="M154" s="15" t="n"/>
      <c r="N154" s="15">
        <f>IFERROR(L154+K154*M154,"")</f>
        <v/>
      </c>
      <c r="O154" s="15" t="n"/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4"/>
  <sheetViews>
    <sheetView showGridLines="0" workbookViewId="0">
      <pane ySplit="4" topLeftCell="A5" activePane="bottomLeft" state="frozen"/>
      <selection pane="bottomLeft" activeCell="A1" sqref="A1:G1"/>
    </sheetView>
  </sheetViews>
  <sheetFormatPr baseColWidth="8" defaultRowHeight="14.4"/>
  <cols>
    <col width="11" customWidth="1" style="27" min="1" max="1"/>
    <col width="8" customWidth="1" style="27" min="2" max="2"/>
    <col width="11" customWidth="1" style="27" min="3" max="3"/>
    <col width="14" customWidth="1" style="27" min="4" max="6"/>
    <col width="30" customWidth="1" style="27" min="7" max="7"/>
  </cols>
  <sheetData>
    <row r="1" ht="21" customHeight="1" s="27">
      <c r="A1" s="45" t="inlineStr">
        <is>
          <t>AMOSTRAGEM DO TRABALHO</t>
        </is>
      </c>
    </row>
    <row r="2">
      <c r="A2" s="39" t="inlineStr">
        <is>
          <t>~400 observações por máquina · IC 95% · erro 5%</t>
        </is>
      </c>
    </row>
    <row r="4" ht="28.05" customHeight="1" s="27">
      <c r="A4" s="14" t="inlineStr">
        <is>
          <t>DATA</t>
        </is>
      </c>
      <c r="B4" s="14" t="inlineStr">
        <is>
          <t>ROUND</t>
        </is>
      </c>
      <c r="C4" s="14" t="inlineStr">
        <is>
          <t>HORA</t>
        </is>
      </c>
      <c r="D4" s="14" t="inlineStr">
        <is>
          <t>MÁQUINA</t>
        </is>
      </c>
      <c r="E4" s="14" t="inlineStr">
        <is>
          <t>STATUS</t>
        </is>
      </c>
      <c r="F4" s="14" t="inlineStr">
        <is>
          <t>COD_PARADA</t>
        </is>
      </c>
      <c r="G4" s="14" t="inlineStr">
        <is>
          <t>NOTA</t>
        </is>
      </c>
    </row>
    <row r="5">
      <c r="A5" s="13" t="n"/>
      <c r="B5" s="13" t="n"/>
      <c r="C5" s="13" t="n"/>
      <c r="D5" s="13" t="n"/>
      <c r="E5" s="13" t="n"/>
      <c r="F5" s="13" t="n"/>
      <c r="G5" s="13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3" t="n"/>
      <c r="B7" s="13" t="n"/>
      <c r="C7" s="13" t="n"/>
      <c r="D7" s="13" t="n"/>
      <c r="E7" s="13" t="n"/>
      <c r="F7" s="13" t="n"/>
      <c r="G7" s="13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3" t="n"/>
      <c r="B23" s="13" t="n"/>
      <c r="C23" s="13" t="n"/>
      <c r="D23" s="13" t="n"/>
      <c r="E23" s="13" t="n"/>
      <c r="F23" s="13" t="n"/>
      <c r="G23" s="13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3" t="n"/>
      <c r="B25" s="13" t="n"/>
      <c r="C25" s="13" t="n"/>
      <c r="D25" s="13" t="n"/>
      <c r="E25" s="13" t="n"/>
      <c r="F25" s="13" t="n"/>
      <c r="G25" s="13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3" t="n"/>
      <c r="B27" s="13" t="n"/>
      <c r="C27" s="13" t="n"/>
      <c r="D27" s="13" t="n"/>
      <c r="E27" s="13" t="n"/>
      <c r="F27" s="13" t="n"/>
      <c r="G27" s="13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3" t="n"/>
      <c r="B29" s="13" t="n"/>
      <c r="C29" s="13" t="n"/>
      <c r="D29" s="13" t="n"/>
      <c r="E29" s="13" t="n"/>
      <c r="F29" s="13" t="n"/>
      <c r="G29" s="13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3" t="n"/>
      <c r="B31" s="13" t="n"/>
      <c r="C31" s="13" t="n"/>
      <c r="D31" s="13" t="n"/>
      <c r="E31" s="13" t="n"/>
      <c r="F31" s="13" t="n"/>
      <c r="G31" s="13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3" t="n"/>
      <c r="B33" s="13" t="n"/>
      <c r="C33" s="13" t="n"/>
      <c r="D33" s="13" t="n"/>
      <c r="E33" s="13" t="n"/>
      <c r="F33" s="13" t="n"/>
      <c r="G33" s="13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3" t="n"/>
      <c r="B35" s="13" t="n"/>
      <c r="C35" s="13" t="n"/>
      <c r="D35" s="13" t="n"/>
      <c r="E35" s="13" t="n"/>
      <c r="F35" s="13" t="n"/>
      <c r="G35" s="13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3" t="n"/>
      <c r="B37" s="13" t="n"/>
      <c r="C37" s="13" t="n"/>
      <c r="D37" s="13" t="n"/>
      <c r="E37" s="13" t="n"/>
      <c r="F37" s="13" t="n"/>
      <c r="G37" s="13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3" t="n"/>
      <c r="B39" s="13" t="n"/>
      <c r="C39" s="13" t="n"/>
      <c r="D39" s="13" t="n"/>
      <c r="E39" s="13" t="n"/>
      <c r="F39" s="13" t="n"/>
      <c r="G39" s="13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3" t="n"/>
      <c r="B41" s="13" t="n"/>
      <c r="C41" s="13" t="n"/>
      <c r="D41" s="13" t="n"/>
      <c r="E41" s="13" t="n"/>
      <c r="F41" s="13" t="n"/>
      <c r="G41" s="13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3" t="n"/>
      <c r="B43" s="13" t="n"/>
      <c r="C43" s="13" t="n"/>
      <c r="D43" s="13" t="n"/>
      <c r="E43" s="13" t="n"/>
      <c r="F43" s="13" t="n"/>
      <c r="G43" s="13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3" t="n"/>
      <c r="B45" s="13" t="n"/>
      <c r="C45" s="13" t="n"/>
      <c r="D45" s="13" t="n"/>
      <c r="E45" s="13" t="n"/>
      <c r="F45" s="13" t="n"/>
      <c r="G45" s="13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3" t="n"/>
      <c r="B47" s="13" t="n"/>
      <c r="C47" s="13" t="n"/>
      <c r="D47" s="13" t="n"/>
      <c r="E47" s="13" t="n"/>
      <c r="F47" s="13" t="n"/>
      <c r="G47" s="13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3" t="n"/>
      <c r="B49" s="13" t="n"/>
      <c r="C49" s="13" t="n"/>
      <c r="D49" s="13" t="n"/>
      <c r="E49" s="13" t="n"/>
      <c r="F49" s="13" t="n"/>
      <c r="G49" s="13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3" t="n"/>
      <c r="B51" s="13" t="n"/>
      <c r="C51" s="13" t="n"/>
      <c r="D51" s="13" t="n"/>
      <c r="E51" s="13" t="n"/>
      <c r="F51" s="13" t="n"/>
      <c r="G51" s="13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3" t="n"/>
      <c r="B53" s="13" t="n"/>
      <c r="C53" s="13" t="n"/>
      <c r="D53" s="13" t="n"/>
      <c r="E53" s="13" t="n"/>
      <c r="F53" s="13" t="n"/>
      <c r="G53" s="13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3" t="n"/>
      <c r="B55" s="13" t="n"/>
      <c r="C55" s="13" t="n"/>
      <c r="D55" s="13" t="n"/>
      <c r="E55" s="13" t="n"/>
      <c r="F55" s="13" t="n"/>
      <c r="G55" s="13" t="n"/>
    </row>
    <row r="56">
      <c r="A56" s="15" t="n"/>
      <c r="B56" s="15" t="n"/>
      <c r="C56" s="15" t="n"/>
      <c r="D56" s="15" t="n"/>
      <c r="E56" s="15" t="n"/>
      <c r="F56" s="15" t="n"/>
      <c r="G56" s="15" t="n"/>
    </row>
    <row r="57">
      <c r="A57" s="13" t="n"/>
      <c r="B57" s="13" t="n"/>
      <c r="C57" s="13" t="n"/>
      <c r="D57" s="13" t="n"/>
      <c r="E57" s="13" t="n"/>
      <c r="F57" s="13" t="n"/>
      <c r="G57" s="13" t="n"/>
    </row>
    <row r="58">
      <c r="A58" s="15" t="n"/>
      <c r="B58" s="15" t="n"/>
      <c r="C58" s="15" t="n"/>
      <c r="D58" s="15" t="n"/>
      <c r="E58" s="15" t="n"/>
      <c r="F58" s="15" t="n"/>
      <c r="G58" s="15" t="n"/>
    </row>
    <row r="59">
      <c r="A59" s="13" t="n"/>
      <c r="B59" s="13" t="n"/>
      <c r="C59" s="13" t="n"/>
      <c r="D59" s="13" t="n"/>
      <c r="E59" s="13" t="n"/>
      <c r="F59" s="13" t="n"/>
      <c r="G59" s="13" t="n"/>
    </row>
    <row r="60">
      <c r="A60" s="15" t="n"/>
      <c r="B60" s="15" t="n"/>
      <c r="C60" s="15" t="n"/>
      <c r="D60" s="15" t="n"/>
      <c r="E60" s="15" t="n"/>
      <c r="F60" s="15" t="n"/>
      <c r="G60" s="15" t="n"/>
    </row>
    <row r="61">
      <c r="A61" s="13" t="n"/>
      <c r="B61" s="13" t="n"/>
      <c r="C61" s="13" t="n"/>
      <c r="D61" s="13" t="n"/>
      <c r="E61" s="13" t="n"/>
      <c r="F61" s="13" t="n"/>
      <c r="G61" s="13" t="n"/>
    </row>
    <row r="62">
      <c r="A62" s="15" t="n"/>
      <c r="B62" s="15" t="n"/>
      <c r="C62" s="15" t="n"/>
      <c r="D62" s="15" t="n"/>
      <c r="E62" s="15" t="n"/>
      <c r="F62" s="15" t="n"/>
      <c r="G62" s="15" t="n"/>
    </row>
    <row r="63">
      <c r="A63" s="13" t="n"/>
      <c r="B63" s="13" t="n"/>
      <c r="C63" s="13" t="n"/>
      <c r="D63" s="13" t="n"/>
      <c r="E63" s="13" t="n"/>
      <c r="F63" s="13" t="n"/>
      <c r="G63" s="13" t="n"/>
    </row>
    <row r="64">
      <c r="A64" s="15" t="n"/>
      <c r="B64" s="15" t="n"/>
      <c r="C64" s="15" t="n"/>
      <c r="D64" s="15" t="n"/>
      <c r="E64" s="15" t="n"/>
      <c r="F64" s="15" t="n"/>
      <c r="G64" s="15" t="n"/>
    </row>
    <row r="65">
      <c r="A65" s="13" t="n"/>
      <c r="B65" s="13" t="n"/>
      <c r="C65" s="13" t="n"/>
      <c r="D65" s="13" t="n"/>
      <c r="E65" s="13" t="n"/>
      <c r="F65" s="13" t="n"/>
      <c r="G65" s="13" t="n"/>
    </row>
    <row r="66">
      <c r="A66" s="15" t="n"/>
      <c r="B66" s="15" t="n"/>
      <c r="C66" s="15" t="n"/>
      <c r="D66" s="15" t="n"/>
      <c r="E66" s="15" t="n"/>
      <c r="F66" s="15" t="n"/>
      <c r="G66" s="15" t="n"/>
    </row>
    <row r="67">
      <c r="A67" s="13" t="n"/>
      <c r="B67" s="13" t="n"/>
      <c r="C67" s="13" t="n"/>
      <c r="D67" s="13" t="n"/>
      <c r="E67" s="13" t="n"/>
      <c r="F67" s="13" t="n"/>
      <c r="G67" s="13" t="n"/>
    </row>
    <row r="68">
      <c r="A68" s="15" t="n"/>
      <c r="B68" s="15" t="n"/>
      <c r="C68" s="15" t="n"/>
      <c r="D68" s="15" t="n"/>
      <c r="E68" s="15" t="n"/>
      <c r="F68" s="15" t="n"/>
      <c r="G68" s="15" t="n"/>
    </row>
    <row r="69">
      <c r="A69" s="13" t="n"/>
      <c r="B69" s="13" t="n"/>
      <c r="C69" s="13" t="n"/>
      <c r="D69" s="13" t="n"/>
      <c r="E69" s="13" t="n"/>
      <c r="F69" s="13" t="n"/>
      <c r="G69" s="13" t="n"/>
    </row>
    <row r="70">
      <c r="A70" s="15" t="n"/>
      <c r="B70" s="15" t="n"/>
      <c r="C70" s="15" t="n"/>
      <c r="D70" s="15" t="n"/>
      <c r="E70" s="15" t="n"/>
      <c r="F70" s="15" t="n"/>
      <c r="G70" s="15" t="n"/>
    </row>
    <row r="71">
      <c r="A71" s="13" t="n"/>
      <c r="B71" s="13" t="n"/>
      <c r="C71" s="13" t="n"/>
      <c r="D71" s="13" t="n"/>
      <c r="E71" s="13" t="n"/>
      <c r="F71" s="13" t="n"/>
      <c r="G71" s="13" t="n"/>
    </row>
    <row r="72">
      <c r="A72" s="15" t="n"/>
      <c r="B72" s="15" t="n"/>
      <c r="C72" s="15" t="n"/>
      <c r="D72" s="15" t="n"/>
      <c r="E72" s="15" t="n"/>
      <c r="F72" s="15" t="n"/>
      <c r="G72" s="15" t="n"/>
    </row>
    <row r="73">
      <c r="A73" s="13" t="n"/>
      <c r="B73" s="13" t="n"/>
      <c r="C73" s="13" t="n"/>
      <c r="D73" s="13" t="n"/>
      <c r="E73" s="13" t="n"/>
      <c r="F73" s="13" t="n"/>
      <c r="G73" s="13" t="n"/>
    </row>
    <row r="74">
      <c r="A74" s="15" t="n"/>
      <c r="B74" s="15" t="n"/>
      <c r="C74" s="15" t="n"/>
      <c r="D74" s="15" t="n"/>
      <c r="E74" s="15" t="n"/>
      <c r="F74" s="15" t="n"/>
      <c r="G74" s="15" t="n"/>
    </row>
    <row r="75">
      <c r="A75" s="13" t="n"/>
      <c r="B75" s="13" t="n"/>
      <c r="C75" s="13" t="n"/>
      <c r="D75" s="13" t="n"/>
      <c r="E75" s="13" t="n"/>
      <c r="F75" s="13" t="n"/>
      <c r="G75" s="13" t="n"/>
    </row>
    <row r="76">
      <c r="A76" s="15" t="n"/>
      <c r="B76" s="15" t="n"/>
      <c r="C76" s="15" t="n"/>
      <c r="D76" s="15" t="n"/>
      <c r="E76" s="15" t="n"/>
      <c r="F76" s="15" t="n"/>
      <c r="G76" s="15" t="n"/>
    </row>
    <row r="77">
      <c r="A77" s="13" t="n"/>
      <c r="B77" s="13" t="n"/>
      <c r="C77" s="13" t="n"/>
      <c r="D77" s="13" t="n"/>
      <c r="E77" s="13" t="n"/>
      <c r="F77" s="13" t="n"/>
      <c r="G77" s="13" t="n"/>
    </row>
    <row r="78">
      <c r="A78" s="15" t="n"/>
      <c r="B78" s="15" t="n"/>
      <c r="C78" s="15" t="n"/>
      <c r="D78" s="15" t="n"/>
      <c r="E78" s="15" t="n"/>
      <c r="F78" s="15" t="n"/>
      <c r="G78" s="15" t="n"/>
    </row>
    <row r="79">
      <c r="A79" s="13" t="n"/>
      <c r="B79" s="13" t="n"/>
      <c r="C79" s="13" t="n"/>
      <c r="D79" s="13" t="n"/>
      <c r="E79" s="13" t="n"/>
      <c r="F79" s="13" t="n"/>
      <c r="G79" s="13" t="n"/>
    </row>
    <row r="80">
      <c r="A80" s="15" t="n"/>
      <c r="B80" s="15" t="n"/>
      <c r="C80" s="15" t="n"/>
      <c r="D80" s="15" t="n"/>
      <c r="E80" s="15" t="n"/>
      <c r="F80" s="15" t="n"/>
      <c r="G80" s="15" t="n"/>
    </row>
    <row r="81">
      <c r="A81" s="13" t="n"/>
      <c r="B81" s="13" t="n"/>
      <c r="C81" s="13" t="n"/>
      <c r="D81" s="13" t="n"/>
      <c r="E81" s="13" t="n"/>
      <c r="F81" s="13" t="n"/>
      <c r="G81" s="13" t="n"/>
    </row>
    <row r="82">
      <c r="A82" s="15" t="n"/>
      <c r="B82" s="15" t="n"/>
      <c r="C82" s="15" t="n"/>
      <c r="D82" s="15" t="n"/>
      <c r="E82" s="15" t="n"/>
      <c r="F82" s="15" t="n"/>
      <c r="G82" s="15" t="n"/>
    </row>
    <row r="83">
      <c r="A83" s="13" t="n"/>
      <c r="B83" s="13" t="n"/>
      <c r="C83" s="13" t="n"/>
      <c r="D83" s="13" t="n"/>
      <c r="E83" s="13" t="n"/>
      <c r="F83" s="13" t="n"/>
      <c r="G83" s="13" t="n"/>
    </row>
    <row r="84">
      <c r="A84" s="15" t="n"/>
      <c r="B84" s="15" t="n"/>
      <c r="C84" s="15" t="n"/>
      <c r="D84" s="15" t="n"/>
      <c r="E84" s="15" t="n"/>
      <c r="F84" s="15" t="n"/>
      <c r="G84" s="15" t="n"/>
    </row>
    <row r="85">
      <c r="A85" s="13" t="n"/>
      <c r="B85" s="13" t="n"/>
      <c r="C85" s="13" t="n"/>
      <c r="D85" s="13" t="n"/>
      <c r="E85" s="13" t="n"/>
      <c r="F85" s="13" t="n"/>
      <c r="G85" s="13" t="n"/>
    </row>
    <row r="86">
      <c r="A86" s="15" t="n"/>
      <c r="B86" s="15" t="n"/>
      <c r="C86" s="15" t="n"/>
      <c r="D86" s="15" t="n"/>
      <c r="E86" s="15" t="n"/>
      <c r="F86" s="15" t="n"/>
      <c r="G86" s="15" t="n"/>
    </row>
    <row r="87">
      <c r="A87" s="13" t="n"/>
      <c r="B87" s="13" t="n"/>
      <c r="C87" s="13" t="n"/>
      <c r="D87" s="13" t="n"/>
      <c r="E87" s="13" t="n"/>
      <c r="F87" s="13" t="n"/>
      <c r="G87" s="13" t="n"/>
    </row>
    <row r="88">
      <c r="A88" s="15" t="n"/>
      <c r="B88" s="15" t="n"/>
      <c r="C88" s="15" t="n"/>
      <c r="D88" s="15" t="n"/>
      <c r="E88" s="15" t="n"/>
      <c r="F88" s="15" t="n"/>
      <c r="G88" s="15" t="n"/>
    </row>
    <row r="89">
      <c r="A89" s="13" t="n"/>
      <c r="B89" s="13" t="n"/>
      <c r="C89" s="13" t="n"/>
      <c r="D89" s="13" t="n"/>
      <c r="E89" s="13" t="n"/>
      <c r="F89" s="13" t="n"/>
      <c r="G89" s="13" t="n"/>
    </row>
    <row r="90">
      <c r="A90" s="15" t="n"/>
      <c r="B90" s="15" t="n"/>
      <c r="C90" s="15" t="n"/>
      <c r="D90" s="15" t="n"/>
      <c r="E90" s="15" t="n"/>
      <c r="F90" s="15" t="n"/>
      <c r="G90" s="15" t="n"/>
    </row>
    <row r="91">
      <c r="A91" s="13" t="n"/>
      <c r="B91" s="13" t="n"/>
      <c r="C91" s="13" t="n"/>
      <c r="D91" s="13" t="n"/>
      <c r="E91" s="13" t="n"/>
      <c r="F91" s="13" t="n"/>
      <c r="G91" s="13" t="n"/>
    </row>
    <row r="92">
      <c r="A92" s="15" t="n"/>
      <c r="B92" s="15" t="n"/>
      <c r="C92" s="15" t="n"/>
      <c r="D92" s="15" t="n"/>
      <c r="E92" s="15" t="n"/>
      <c r="F92" s="15" t="n"/>
      <c r="G92" s="15" t="n"/>
    </row>
    <row r="93">
      <c r="A93" s="13" t="n"/>
      <c r="B93" s="13" t="n"/>
      <c r="C93" s="13" t="n"/>
      <c r="D93" s="13" t="n"/>
      <c r="E93" s="13" t="n"/>
      <c r="F93" s="13" t="n"/>
      <c r="G93" s="13" t="n"/>
    </row>
    <row r="94">
      <c r="A94" s="15" t="n"/>
      <c r="B94" s="15" t="n"/>
      <c r="C94" s="15" t="n"/>
      <c r="D94" s="15" t="n"/>
      <c r="E94" s="15" t="n"/>
      <c r="F94" s="15" t="n"/>
      <c r="G94" s="15" t="n"/>
    </row>
    <row r="95">
      <c r="A95" s="13" t="n"/>
      <c r="B95" s="13" t="n"/>
      <c r="C95" s="13" t="n"/>
      <c r="D95" s="13" t="n"/>
      <c r="E95" s="13" t="n"/>
      <c r="F95" s="13" t="n"/>
      <c r="G95" s="13" t="n"/>
    </row>
    <row r="96">
      <c r="A96" s="15" t="n"/>
      <c r="B96" s="15" t="n"/>
      <c r="C96" s="15" t="n"/>
      <c r="D96" s="15" t="n"/>
      <c r="E96" s="15" t="n"/>
      <c r="F96" s="15" t="n"/>
      <c r="G96" s="15" t="n"/>
    </row>
    <row r="97">
      <c r="A97" s="13" t="n"/>
      <c r="B97" s="13" t="n"/>
      <c r="C97" s="13" t="n"/>
      <c r="D97" s="13" t="n"/>
      <c r="E97" s="13" t="n"/>
      <c r="F97" s="13" t="n"/>
      <c r="G97" s="13" t="n"/>
    </row>
    <row r="98">
      <c r="A98" s="15" t="n"/>
      <c r="B98" s="15" t="n"/>
      <c r="C98" s="15" t="n"/>
      <c r="D98" s="15" t="n"/>
      <c r="E98" s="15" t="n"/>
      <c r="F98" s="15" t="n"/>
      <c r="G98" s="15" t="n"/>
    </row>
    <row r="99">
      <c r="A99" s="13" t="n"/>
      <c r="B99" s="13" t="n"/>
      <c r="C99" s="13" t="n"/>
      <c r="D99" s="13" t="n"/>
      <c r="E99" s="13" t="n"/>
      <c r="F99" s="13" t="n"/>
      <c r="G99" s="13" t="n"/>
    </row>
    <row r="100">
      <c r="A100" s="15" t="n"/>
      <c r="B100" s="15" t="n"/>
      <c r="C100" s="15" t="n"/>
      <c r="D100" s="15" t="n"/>
      <c r="E100" s="15" t="n"/>
      <c r="F100" s="15" t="n"/>
      <c r="G100" s="15" t="n"/>
    </row>
    <row r="101">
      <c r="A101" s="13" t="n"/>
      <c r="B101" s="13" t="n"/>
      <c r="C101" s="13" t="n"/>
      <c r="D101" s="13" t="n"/>
      <c r="E101" s="13" t="n"/>
      <c r="F101" s="13" t="n"/>
      <c r="G101" s="13" t="n"/>
    </row>
    <row r="102">
      <c r="A102" s="15" t="n"/>
      <c r="B102" s="15" t="n"/>
      <c r="C102" s="15" t="n"/>
      <c r="D102" s="15" t="n"/>
      <c r="E102" s="15" t="n"/>
      <c r="F102" s="15" t="n"/>
      <c r="G102" s="15" t="n"/>
    </row>
    <row r="103">
      <c r="A103" s="13" t="n"/>
      <c r="B103" s="13" t="n"/>
      <c r="C103" s="13" t="n"/>
      <c r="D103" s="13" t="n"/>
      <c r="E103" s="13" t="n"/>
      <c r="F103" s="13" t="n"/>
      <c r="G103" s="13" t="n"/>
    </row>
    <row r="104">
      <c r="A104" s="15" t="n"/>
      <c r="B104" s="15" t="n"/>
      <c r="C104" s="15" t="n"/>
      <c r="D104" s="15" t="n"/>
      <c r="E104" s="15" t="n"/>
      <c r="F104" s="15" t="n"/>
      <c r="G104" s="15" t="n"/>
    </row>
    <row r="105">
      <c r="A105" s="13" t="n"/>
      <c r="B105" s="13" t="n"/>
      <c r="C105" s="13" t="n"/>
      <c r="D105" s="13" t="n"/>
      <c r="E105" s="13" t="n"/>
      <c r="F105" s="13" t="n"/>
      <c r="G105" s="13" t="n"/>
    </row>
    <row r="106">
      <c r="A106" s="15" t="n"/>
      <c r="B106" s="15" t="n"/>
      <c r="C106" s="15" t="n"/>
      <c r="D106" s="15" t="n"/>
      <c r="E106" s="15" t="n"/>
      <c r="F106" s="15" t="n"/>
      <c r="G106" s="15" t="n"/>
    </row>
    <row r="107">
      <c r="A107" s="13" t="n"/>
      <c r="B107" s="13" t="n"/>
      <c r="C107" s="13" t="n"/>
      <c r="D107" s="13" t="n"/>
      <c r="E107" s="13" t="n"/>
      <c r="F107" s="13" t="n"/>
      <c r="G107" s="13" t="n"/>
    </row>
    <row r="108">
      <c r="A108" s="15" t="n"/>
      <c r="B108" s="15" t="n"/>
      <c r="C108" s="15" t="n"/>
      <c r="D108" s="15" t="n"/>
      <c r="E108" s="15" t="n"/>
      <c r="F108" s="15" t="n"/>
      <c r="G108" s="15" t="n"/>
    </row>
    <row r="109">
      <c r="A109" s="13" t="n"/>
      <c r="B109" s="13" t="n"/>
      <c r="C109" s="13" t="n"/>
      <c r="D109" s="13" t="n"/>
      <c r="E109" s="13" t="n"/>
      <c r="F109" s="13" t="n"/>
      <c r="G109" s="13" t="n"/>
    </row>
    <row r="110">
      <c r="A110" s="15" t="n"/>
      <c r="B110" s="15" t="n"/>
      <c r="C110" s="15" t="n"/>
      <c r="D110" s="15" t="n"/>
      <c r="E110" s="15" t="n"/>
      <c r="F110" s="15" t="n"/>
      <c r="G110" s="15" t="n"/>
    </row>
    <row r="111">
      <c r="A111" s="13" t="n"/>
      <c r="B111" s="13" t="n"/>
      <c r="C111" s="13" t="n"/>
      <c r="D111" s="13" t="n"/>
      <c r="E111" s="13" t="n"/>
      <c r="F111" s="13" t="n"/>
      <c r="G111" s="13" t="n"/>
    </row>
    <row r="112">
      <c r="A112" s="15" t="n"/>
      <c r="B112" s="15" t="n"/>
      <c r="C112" s="15" t="n"/>
      <c r="D112" s="15" t="n"/>
      <c r="E112" s="15" t="n"/>
      <c r="F112" s="15" t="n"/>
      <c r="G112" s="15" t="n"/>
    </row>
    <row r="113">
      <c r="A113" s="13" t="n"/>
      <c r="B113" s="13" t="n"/>
      <c r="C113" s="13" t="n"/>
      <c r="D113" s="13" t="n"/>
      <c r="E113" s="13" t="n"/>
      <c r="F113" s="13" t="n"/>
      <c r="G113" s="13" t="n"/>
    </row>
    <row r="114">
      <c r="A114" s="15" t="n"/>
      <c r="B114" s="15" t="n"/>
      <c r="C114" s="15" t="n"/>
      <c r="D114" s="15" t="n"/>
      <c r="E114" s="15" t="n"/>
      <c r="F114" s="15" t="n"/>
      <c r="G114" s="15" t="n"/>
    </row>
    <row r="115">
      <c r="A115" s="13" t="n"/>
      <c r="B115" s="13" t="n"/>
      <c r="C115" s="13" t="n"/>
      <c r="D115" s="13" t="n"/>
      <c r="E115" s="13" t="n"/>
      <c r="F115" s="13" t="n"/>
      <c r="G115" s="13" t="n"/>
    </row>
    <row r="116">
      <c r="A116" s="15" t="n"/>
      <c r="B116" s="15" t="n"/>
      <c r="C116" s="15" t="n"/>
      <c r="D116" s="15" t="n"/>
      <c r="E116" s="15" t="n"/>
      <c r="F116" s="15" t="n"/>
      <c r="G116" s="15" t="n"/>
    </row>
    <row r="117">
      <c r="A117" s="13" t="n"/>
      <c r="B117" s="13" t="n"/>
      <c r="C117" s="13" t="n"/>
      <c r="D117" s="13" t="n"/>
      <c r="E117" s="13" t="n"/>
      <c r="F117" s="13" t="n"/>
      <c r="G117" s="13" t="n"/>
    </row>
    <row r="118">
      <c r="A118" s="15" t="n"/>
      <c r="B118" s="15" t="n"/>
      <c r="C118" s="15" t="n"/>
      <c r="D118" s="15" t="n"/>
      <c r="E118" s="15" t="n"/>
      <c r="F118" s="15" t="n"/>
      <c r="G118" s="15" t="n"/>
    </row>
    <row r="119">
      <c r="A119" s="13" t="n"/>
      <c r="B119" s="13" t="n"/>
      <c r="C119" s="13" t="n"/>
      <c r="D119" s="13" t="n"/>
      <c r="E119" s="13" t="n"/>
      <c r="F119" s="13" t="n"/>
      <c r="G119" s="13" t="n"/>
    </row>
    <row r="120">
      <c r="A120" s="15" t="n"/>
      <c r="B120" s="15" t="n"/>
      <c r="C120" s="15" t="n"/>
      <c r="D120" s="15" t="n"/>
      <c r="E120" s="15" t="n"/>
      <c r="F120" s="15" t="n"/>
      <c r="G120" s="15" t="n"/>
    </row>
    <row r="121">
      <c r="A121" s="13" t="n"/>
      <c r="B121" s="13" t="n"/>
      <c r="C121" s="13" t="n"/>
      <c r="D121" s="13" t="n"/>
      <c r="E121" s="13" t="n"/>
      <c r="F121" s="13" t="n"/>
      <c r="G121" s="13" t="n"/>
    </row>
    <row r="122">
      <c r="A122" s="15" t="n"/>
      <c r="B122" s="15" t="n"/>
      <c r="C122" s="15" t="n"/>
      <c r="D122" s="15" t="n"/>
      <c r="E122" s="15" t="n"/>
      <c r="F122" s="15" t="n"/>
      <c r="G122" s="15" t="n"/>
    </row>
    <row r="123">
      <c r="A123" s="13" t="n"/>
      <c r="B123" s="13" t="n"/>
      <c r="C123" s="13" t="n"/>
      <c r="D123" s="13" t="n"/>
      <c r="E123" s="13" t="n"/>
      <c r="F123" s="13" t="n"/>
      <c r="G123" s="13" t="n"/>
    </row>
    <row r="124">
      <c r="A124" s="15" t="n"/>
      <c r="B124" s="15" t="n"/>
      <c r="C124" s="15" t="n"/>
      <c r="D124" s="15" t="n"/>
      <c r="E124" s="15" t="n"/>
      <c r="F124" s="15" t="n"/>
      <c r="G124" s="15" t="n"/>
    </row>
    <row r="125">
      <c r="A125" s="13" t="n"/>
      <c r="B125" s="13" t="n"/>
      <c r="C125" s="13" t="n"/>
      <c r="D125" s="13" t="n"/>
      <c r="E125" s="13" t="n"/>
      <c r="F125" s="13" t="n"/>
      <c r="G125" s="13" t="n"/>
    </row>
    <row r="126">
      <c r="A126" s="15" t="n"/>
      <c r="B126" s="15" t="n"/>
      <c r="C126" s="15" t="n"/>
      <c r="D126" s="15" t="n"/>
      <c r="E126" s="15" t="n"/>
      <c r="F126" s="15" t="n"/>
      <c r="G126" s="15" t="n"/>
    </row>
    <row r="127">
      <c r="A127" s="13" t="n"/>
      <c r="B127" s="13" t="n"/>
      <c r="C127" s="13" t="n"/>
      <c r="D127" s="13" t="n"/>
      <c r="E127" s="13" t="n"/>
      <c r="F127" s="13" t="n"/>
      <c r="G127" s="13" t="n"/>
    </row>
    <row r="128">
      <c r="A128" s="15" t="n"/>
      <c r="B128" s="15" t="n"/>
      <c r="C128" s="15" t="n"/>
      <c r="D128" s="15" t="n"/>
      <c r="E128" s="15" t="n"/>
      <c r="F128" s="15" t="n"/>
      <c r="G128" s="15" t="n"/>
    </row>
    <row r="129">
      <c r="A129" s="13" t="n"/>
      <c r="B129" s="13" t="n"/>
      <c r="C129" s="13" t="n"/>
      <c r="D129" s="13" t="n"/>
      <c r="E129" s="13" t="n"/>
      <c r="F129" s="13" t="n"/>
      <c r="G129" s="13" t="n"/>
    </row>
    <row r="130">
      <c r="A130" s="15" t="n"/>
      <c r="B130" s="15" t="n"/>
      <c r="C130" s="15" t="n"/>
      <c r="D130" s="15" t="n"/>
      <c r="E130" s="15" t="n"/>
      <c r="F130" s="15" t="n"/>
      <c r="G130" s="15" t="n"/>
    </row>
    <row r="131">
      <c r="A131" s="13" t="n"/>
      <c r="B131" s="13" t="n"/>
      <c r="C131" s="13" t="n"/>
      <c r="D131" s="13" t="n"/>
      <c r="E131" s="13" t="n"/>
      <c r="F131" s="13" t="n"/>
      <c r="G131" s="13" t="n"/>
    </row>
    <row r="132">
      <c r="A132" s="15" t="n"/>
      <c r="B132" s="15" t="n"/>
      <c r="C132" s="15" t="n"/>
      <c r="D132" s="15" t="n"/>
      <c r="E132" s="15" t="n"/>
      <c r="F132" s="15" t="n"/>
      <c r="G132" s="15" t="n"/>
    </row>
    <row r="133">
      <c r="A133" s="13" t="n"/>
      <c r="B133" s="13" t="n"/>
      <c r="C133" s="13" t="n"/>
      <c r="D133" s="13" t="n"/>
      <c r="E133" s="13" t="n"/>
      <c r="F133" s="13" t="n"/>
      <c r="G133" s="13" t="n"/>
    </row>
    <row r="134">
      <c r="A134" s="15" t="n"/>
      <c r="B134" s="15" t="n"/>
      <c r="C134" s="15" t="n"/>
      <c r="D134" s="15" t="n"/>
      <c r="E134" s="15" t="n"/>
      <c r="F134" s="15" t="n"/>
      <c r="G134" s="15" t="n"/>
    </row>
    <row r="135">
      <c r="A135" s="13" t="n"/>
      <c r="B135" s="13" t="n"/>
      <c r="C135" s="13" t="n"/>
      <c r="D135" s="13" t="n"/>
      <c r="E135" s="13" t="n"/>
      <c r="F135" s="13" t="n"/>
      <c r="G135" s="13" t="n"/>
    </row>
    <row r="136">
      <c r="A136" s="15" t="n"/>
      <c r="B136" s="15" t="n"/>
      <c r="C136" s="15" t="n"/>
      <c r="D136" s="15" t="n"/>
      <c r="E136" s="15" t="n"/>
      <c r="F136" s="15" t="n"/>
      <c r="G136" s="15" t="n"/>
    </row>
    <row r="137">
      <c r="A137" s="13" t="n"/>
      <c r="B137" s="13" t="n"/>
      <c r="C137" s="13" t="n"/>
      <c r="D137" s="13" t="n"/>
      <c r="E137" s="13" t="n"/>
      <c r="F137" s="13" t="n"/>
      <c r="G137" s="13" t="n"/>
    </row>
    <row r="138">
      <c r="A138" s="15" t="n"/>
      <c r="B138" s="15" t="n"/>
      <c r="C138" s="15" t="n"/>
      <c r="D138" s="15" t="n"/>
      <c r="E138" s="15" t="n"/>
      <c r="F138" s="15" t="n"/>
      <c r="G138" s="15" t="n"/>
    </row>
    <row r="139">
      <c r="A139" s="13" t="n"/>
      <c r="B139" s="13" t="n"/>
      <c r="C139" s="13" t="n"/>
      <c r="D139" s="13" t="n"/>
      <c r="E139" s="13" t="n"/>
      <c r="F139" s="13" t="n"/>
      <c r="G139" s="13" t="n"/>
    </row>
    <row r="140">
      <c r="A140" s="15" t="n"/>
      <c r="B140" s="15" t="n"/>
      <c r="C140" s="15" t="n"/>
      <c r="D140" s="15" t="n"/>
      <c r="E140" s="15" t="n"/>
      <c r="F140" s="15" t="n"/>
      <c r="G140" s="15" t="n"/>
    </row>
    <row r="141">
      <c r="A141" s="13" t="n"/>
      <c r="B141" s="13" t="n"/>
      <c r="C141" s="13" t="n"/>
      <c r="D141" s="13" t="n"/>
      <c r="E141" s="13" t="n"/>
      <c r="F141" s="13" t="n"/>
      <c r="G141" s="13" t="n"/>
    </row>
    <row r="142">
      <c r="A142" s="15" t="n"/>
      <c r="B142" s="15" t="n"/>
      <c r="C142" s="15" t="n"/>
      <c r="D142" s="15" t="n"/>
      <c r="E142" s="15" t="n"/>
      <c r="F142" s="15" t="n"/>
      <c r="G142" s="15" t="n"/>
    </row>
    <row r="143">
      <c r="A143" s="13" t="n"/>
      <c r="B143" s="13" t="n"/>
      <c r="C143" s="13" t="n"/>
      <c r="D143" s="13" t="n"/>
      <c r="E143" s="13" t="n"/>
      <c r="F143" s="13" t="n"/>
      <c r="G143" s="13" t="n"/>
    </row>
    <row r="144">
      <c r="A144" s="15" t="n"/>
      <c r="B144" s="15" t="n"/>
      <c r="C144" s="15" t="n"/>
      <c r="D144" s="15" t="n"/>
      <c r="E144" s="15" t="n"/>
      <c r="F144" s="15" t="n"/>
      <c r="G144" s="15" t="n"/>
    </row>
    <row r="145">
      <c r="A145" s="13" t="n"/>
      <c r="B145" s="13" t="n"/>
      <c r="C145" s="13" t="n"/>
      <c r="D145" s="13" t="n"/>
      <c r="E145" s="13" t="n"/>
      <c r="F145" s="13" t="n"/>
      <c r="G145" s="13" t="n"/>
    </row>
    <row r="146">
      <c r="A146" s="15" t="n"/>
      <c r="B146" s="15" t="n"/>
      <c r="C146" s="15" t="n"/>
      <c r="D146" s="15" t="n"/>
      <c r="E146" s="15" t="n"/>
      <c r="F146" s="15" t="n"/>
      <c r="G146" s="15" t="n"/>
    </row>
    <row r="147">
      <c r="A147" s="13" t="n"/>
      <c r="B147" s="13" t="n"/>
      <c r="C147" s="13" t="n"/>
      <c r="D147" s="13" t="n"/>
      <c r="E147" s="13" t="n"/>
      <c r="F147" s="13" t="n"/>
      <c r="G147" s="13" t="n"/>
    </row>
    <row r="148">
      <c r="A148" s="15" t="n"/>
      <c r="B148" s="15" t="n"/>
      <c r="C148" s="15" t="n"/>
      <c r="D148" s="15" t="n"/>
      <c r="E148" s="15" t="n"/>
      <c r="F148" s="15" t="n"/>
      <c r="G148" s="15" t="n"/>
    </row>
    <row r="149">
      <c r="A149" s="13" t="n"/>
      <c r="B149" s="13" t="n"/>
      <c r="C149" s="13" t="n"/>
      <c r="D149" s="13" t="n"/>
      <c r="E149" s="13" t="n"/>
      <c r="F149" s="13" t="n"/>
      <c r="G149" s="13" t="n"/>
    </row>
    <row r="150">
      <c r="A150" s="15" t="n"/>
      <c r="B150" s="15" t="n"/>
      <c r="C150" s="15" t="n"/>
      <c r="D150" s="15" t="n"/>
      <c r="E150" s="15" t="n"/>
      <c r="F150" s="15" t="n"/>
      <c r="G150" s="15" t="n"/>
    </row>
    <row r="151">
      <c r="A151" s="13" t="n"/>
      <c r="B151" s="13" t="n"/>
      <c r="C151" s="13" t="n"/>
      <c r="D151" s="13" t="n"/>
      <c r="E151" s="13" t="n"/>
      <c r="F151" s="13" t="n"/>
      <c r="G151" s="13" t="n"/>
    </row>
    <row r="152">
      <c r="A152" s="15" t="n"/>
      <c r="B152" s="15" t="n"/>
      <c r="C152" s="15" t="n"/>
      <c r="D152" s="15" t="n"/>
      <c r="E152" s="15" t="n"/>
      <c r="F152" s="15" t="n"/>
      <c r="G152" s="15" t="n"/>
    </row>
    <row r="153">
      <c r="A153" s="13" t="n"/>
      <c r="B153" s="13" t="n"/>
      <c r="C153" s="13" t="n"/>
      <c r="D153" s="13" t="n"/>
      <c r="E153" s="13" t="n"/>
      <c r="F153" s="13" t="n"/>
      <c r="G153" s="13" t="n"/>
    </row>
    <row r="154">
      <c r="A154" s="15" t="n"/>
      <c r="B154" s="15" t="n"/>
      <c r="C154" s="15" t="n"/>
      <c r="D154" s="15" t="n"/>
      <c r="E154" s="15" t="n"/>
      <c r="F154" s="15" t="n"/>
      <c r="G154" s="15" t="n"/>
    </row>
    <row r="155">
      <c r="A155" s="13" t="n"/>
      <c r="B155" s="13" t="n"/>
      <c r="C155" s="13" t="n"/>
      <c r="D155" s="13" t="n"/>
      <c r="E155" s="13" t="n"/>
      <c r="F155" s="13" t="n"/>
      <c r="G155" s="13" t="n"/>
    </row>
    <row r="156">
      <c r="A156" s="15" t="n"/>
      <c r="B156" s="15" t="n"/>
      <c r="C156" s="15" t="n"/>
      <c r="D156" s="15" t="n"/>
      <c r="E156" s="15" t="n"/>
      <c r="F156" s="15" t="n"/>
      <c r="G156" s="15" t="n"/>
    </row>
    <row r="157">
      <c r="A157" s="13" t="n"/>
      <c r="B157" s="13" t="n"/>
      <c r="C157" s="13" t="n"/>
      <c r="D157" s="13" t="n"/>
      <c r="E157" s="13" t="n"/>
      <c r="F157" s="13" t="n"/>
      <c r="G157" s="13" t="n"/>
    </row>
    <row r="158">
      <c r="A158" s="15" t="n"/>
      <c r="B158" s="15" t="n"/>
      <c r="C158" s="15" t="n"/>
      <c r="D158" s="15" t="n"/>
      <c r="E158" s="15" t="n"/>
      <c r="F158" s="15" t="n"/>
      <c r="G158" s="15" t="n"/>
    </row>
    <row r="159">
      <c r="A159" s="13" t="n"/>
      <c r="B159" s="13" t="n"/>
      <c r="C159" s="13" t="n"/>
      <c r="D159" s="13" t="n"/>
      <c r="E159" s="13" t="n"/>
      <c r="F159" s="13" t="n"/>
      <c r="G159" s="13" t="n"/>
    </row>
    <row r="160">
      <c r="A160" s="15" t="n"/>
      <c r="B160" s="15" t="n"/>
      <c r="C160" s="15" t="n"/>
      <c r="D160" s="15" t="n"/>
      <c r="E160" s="15" t="n"/>
      <c r="F160" s="15" t="n"/>
      <c r="G160" s="15" t="n"/>
    </row>
    <row r="161">
      <c r="A161" s="13" t="n"/>
      <c r="B161" s="13" t="n"/>
      <c r="C161" s="13" t="n"/>
      <c r="D161" s="13" t="n"/>
      <c r="E161" s="13" t="n"/>
      <c r="F161" s="13" t="n"/>
      <c r="G161" s="13" t="n"/>
    </row>
    <row r="162">
      <c r="A162" s="15" t="n"/>
      <c r="B162" s="15" t="n"/>
      <c r="C162" s="15" t="n"/>
      <c r="D162" s="15" t="n"/>
      <c r="E162" s="15" t="n"/>
      <c r="F162" s="15" t="n"/>
      <c r="G162" s="15" t="n"/>
    </row>
    <row r="163">
      <c r="A163" s="13" t="n"/>
      <c r="B163" s="13" t="n"/>
      <c r="C163" s="13" t="n"/>
      <c r="D163" s="13" t="n"/>
      <c r="E163" s="13" t="n"/>
      <c r="F163" s="13" t="n"/>
      <c r="G163" s="13" t="n"/>
    </row>
    <row r="164">
      <c r="A164" s="15" t="n"/>
      <c r="B164" s="15" t="n"/>
      <c r="C164" s="15" t="n"/>
      <c r="D164" s="15" t="n"/>
      <c r="E164" s="15" t="n"/>
      <c r="F164" s="15" t="n"/>
      <c r="G164" s="15" t="n"/>
    </row>
    <row r="165">
      <c r="A165" s="13" t="n"/>
      <c r="B165" s="13" t="n"/>
      <c r="C165" s="13" t="n"/>
      <c r="D165" s="13" t="n"/>
      <c r="E165" s="13" t="n"/>
      <c r="F165" s="13" t="n"/>
      <c r="G165" s="13" t="n"/>
    </row>
    <row r="166">
      <c r="A166" s="15" t="n"/>
      <c r="B166" s="15" t="n"/>
      <c r="C166" s="15" t="n"/>
      <c r="D166" s="15" t="n"/>
      <c r="E166" s="15" t="n"/>
      <c r="F166" s="15" t="n"/>
      <c r="G166" s="15" t="n"/>
    </row>
    <row r="167">
      <c r="A167" s="13" t="n"/>
      <c r="B167" s="13" t="n"/>
      <c r="C167" s="13" t="n"/>
      <c r="D167" s="13" t="n"/>
      <c r="E167" s="13" t="n"/>
      <c r="F167" s="13" t="n"/>
      <c r="G167" s="13" t="n"/>
    </row>
    <row r="168">
      <c r="A168" s="15" t="n"/>
      <c r="B168" s="15" t="n"/>
      <c r="C168" s="15" t="n"/>
      <c r="D168" s="15" t="n"/>
      <c r="E168" s="15" t="n"/>
      <c r="F168" s="15" t="n"/>
      <c r="G168" s="15" t="n"/>
    </row>
    <row r="169">
      <c r="A169" s="13" t="n"/>
      <c r="B169" s="13" t="n"/>
      <c r="C169" s="13" t="n"/>
      <c r="D169" s="13" t="n"/>
      <c r="E169" s="13" t="n"/>
      <c r="F169" s="13" t="n"/>
      <c r="G169" s="13" t="n"/>
    </row>
    <row r="170">
      <c r="A170" s="15" t="n"/>
      <c r="B170" s="15" t="n"/>
      <c r="C170" s="15" t="n"/>
      <c r="D170" s="15" t="n"/>
      <c r="E170" s="15" t="n"/>
      <c r="F170" s="15" t="n"/>
      <c r="G170" s="15" t="n"/>
    </row>
    <row r="171">
      <c r="A171" s="13" t="n"/>
      <c r="B171" s="13" t="n"/>
      <c r="C171" s="13" t="n"/>
      <c r="D171" s="13" t="n"/>
      <c r="E171" s="13" t="n"/>
      <c r="F171" s="13" t="n"/>
      <c r="G171" s="13" t="n"/>
    </row>
    <row r="172">
      <c r="A172" s="15" t="n"/>
      <c r="B172" s="15" t="n"/>
      <c r="C172" s="15" t="n"/>
      <c r="D172" s="15" t="n"/>
      <c r="E172" s="15" t="n"/>
      <c r="F172" s="15" t="n"/>
      <c r="G172" s="15" t="n"/>
    </row>
    <row r="173">
      <c r="A173" s="13" t="n"/>
      <c r="B173" s="13" t="n"/>
      <c r="C173" s="13" t="n"/>
      <c r="D173" s="13" t="n"/>
      <c r="E173" s="13" t="n"/>
      <c r="F173" s="13" t="n"/>
      <c r="G173" s="13" t="n"/>
    </row>
    <row r="174">
      <c r="A174" s="15" t="n"/>
      <c r="B174" s="15" t="n"/>
      <c r="C174" s="15" t="n"/>
      <c r="D174" s="15" t="n"/>
      <c r="E174" s="15" t="n"/>
      <c r="F174" s="15" t="n"/>
      <c r="G174" s="15" t="n"/>
    </row>
    <row r="175">
      <c r="A175" s="13" t="n"/>
      <c r="B175" s="13" t="n"/>
      <c r="C175" s="13" t="n"/>
      <c r="D175" s="13" t="n"/>
      <c r="E175" s="13" t="n"/>
      <c r="F175" s="13" t="n"/>
      <c r="G175" s="13" t="n"/>
    </row>
    <row r="176">
      <c r="A176" s="15" t="n"/>
      <c r="B176" s="15" t="n"/>
      <c r="C176" s="15" t="n"/>
      <c r="D176" s="15" t="n"/>
      <c r="E176" s="15" t="n"/>
      <c r="F176" s="15" t="n"/>
      <c r="G176" s="15" t="n"/>
    </row>
    <row r="177">
      <c r="A177" s="13" t="n"/>
      <c r="B177" s="13" t="n"/>
      <c r="C177" s="13" t="n"/>
      <c r="D177" s="13" t="n"/>
      <c r="E177" s="13" t="n"/>
      <c r="F177" s="13" t="n"/>
      <c r="G177" s="13" t="n"/>
    </row>
    <row r="178">
      <c r="A178" s="15" t="n"/>
      <c r="B178" s="15" t="n"/>
      <c r="C178" s="15" t="n"/>
      <c r="D178" s="15" t="n"/>
      <c r="E178" s="15" t="n"/>
      <c r="F178" s="15" t="n"/>
      <c r="G178" s="15" t="n"/>
    </row>
    <row r="179">
      <c r="A179" s="13" t="n"/>
      <c r="B179" s="13" t="n"/>
      <c r="C179" s="13" t="n"/>
      <c r="D179" s="13" t="n"/>
      <c r="E179" s="13" t="n"/>
      <c r="F179" s="13" t="n"/>
      <c r="G179" s="13" t="n"/>
    </row>
    <row r="180">
      <c r="A180" s="15" t="n"/>
      <c r="B180" s="15" t="n"/>
      <c r="C180" s="15" t="n"/>
      <c r="D180" s="15" t="n"/>
      <c r="E180" s="15" t="n"/>
      <c r="F180" s="15" t="n"/>
      <c r="G180" s="15" t="n"/>
    </row>
    <row r="181">
      <c r="A181" s="13" t="n"/>
      <c r="B181" s="13" t="n"/>
      <c r="C181" s="13" t="n"/>
      <c r="D181" s="13" t="n"/>
      <c r="E181" s="13" t="n"/>
      <c r="F181" s="13" t="n"/>
      <c r="G181" s="13" t="n"/>
    </row>
    <row r="182">
      <c r="A182" s="15" t="n"/>
      <c r="B182" s="15" t="n"/>
      <c r="C182" s="15" t="n"/>
      <c r="D182" s="15" t="n"/>
      <c r="E182" s="15" t="n"/>
      <c r="F182" s="15" t="n"/>
      <c r="G182" s="15" t="n"/>
    </row>
    <row r="183">
      <c r="A183" s="13" t="n"/>
      <c r="B183" s="13" t="n"/>
      <c r="C183" s="13" t="n"/>
      <c r="D183" s="13" t="n"/>
      <c r="E183" s="13" t="n"/>
      <c r="F183" s="13" t="n"/>
      <c r="G183" s="13" t="n"/>
    </row>
    <row r="184">
      <c r="A184" s="15" t="n"/>
      <c r="B184" s="15" t="n"/>
      <c r="C184" s="15" t="n"/>
      <c r="D184" s="15" t="n"/>
      <c r="E184" s="15" t="n"/>
      <c r="F184" s="15" t="n"/>
      <c r="G184" s="15" t="n"/>
    </row>
    <row r="185">
      <c r="A185" s="13" t="n"/>
      <c r="B185" s="13" t="n"/>
      <c r="C185" s="13" t="n"/>
      <c r="D185" s="13" t="n"/>
      <c r="E185" s="13" t="n"/>
      <c r="F185" s="13" t="n"/>
      <c r="G185" s="13" t="n"/>
    </row>
    <row r="186">
      <c r="A186" s="15" t="n"/>
      <c r="B186" s="15" t="n"/>
      <c r="C186" s="15" t="n"/>
      <c r="D186" s="15" t="n"/>
      <c r="E186" s="15" t="n"/>
      <c r="F186" s="15" t="n"/>
      <c r="G186" s="15" t="n"/>
    </row>
    <row r="187">
      <c r="A187" s="13" t="n"/>
      <c r="B187" s="13" t="n"/>
      <c r="C187" s="13" t="n"/>
      <c r="D187" s="13" t="n"/>
      <c r="E187" s="13" t="n"/>
      <c r="F187" s="13" t="n"/>
      <c r="G187" s="13" t="n"/>
    </row>
    <row r="188">
      <c r="A188" s="15" t="n"/>
      <c r="B188" s="15" t="n"/>
      <c r="C188" s="15" t="n"/>
      <c r="D188" s="15" t="n"/>
      <c r="E188" s="15" t="n"/>
      <c r="F188" s="15" t="n"/>
      <c r="G188" s="15" t="n"/>
    </row>
    <row r="189">
      <c r="A189" s="13" t="n"/>
      <c r="B189" s="13" t="n"/>
      <c r="C189" s="13" t="n"/>
      <c r="D189" s="13" t="n"/>
      <c r="E189" s="13" t="n"/>
      <c r="F189" s="13" t="n"/>
      <c r="G189" s="13" t="n"/>
    </row>
    <row r="190">
      <c r="A190" s="15" t="n"/>
      <c r="B190" s="15" t="n"/>
      <c r="C190" s="15" t="n"/>
      <c r="D190" s="15" t="n"/>
      <c r="E190" s="15" t="n"/>
      <c r="F190" s="15" t="n"/>
      <c r="G190" s="15" t="n"/>
    </row>
    <row r="191">
      <c r="A191" s="13" t="n"/>
      <c r="B191" s="13" t="n"/>
      <c r="C191" s="13" t="n"/>
      <c r="D191" s="13" t="n"/>
      <c r="E191" s="13" t="n"/>
      <c r="F191" s="13" t="n"/>
      <c r="G191" s="13" t="n"/>
    </row>
    <row r="192">
      <c r="A192" s="15" t="n"/>
      <c r="B192" s="15" t="n"/>
      <c r="C192" s="15" t="n"/>
      <c r="D192" s="15" t="n"/>
      <c r="E192" s="15" t="n"/>
      <c r="F192" s="15" t="n"/>
      <c r="G192" s="15" t="n"/>
    </row>
    <row r="193">
      <c r="A193" s="13" t="n"/>
      <c r="B193" s="13" t="n"/>
      <c r="C193" s="13" t="n"/>
      <c r="D193" s="13" t="n"/>
      <c r="E193" s="13" t="n"/>
      <c r="F193" s="13" t="n"/>
      <c r="G193" s="13" t="n"/>
    </row>
    <row r="194">
      <c r="A194" s="15" t="n"/>
      <c r="B194" s="15" t="n"/>
      <c r="C194" s="15" t="n"/>
      <c r="D194" s="15" t="n"/>
      <c r="E194" s="15" t="n"/>
      <c r="F194" s="15" t="n"/>
      <c r="G194" s="15" t="n"/>
    </row>
    <row r="195">
      <c r="A195" s="13" t="n"/>
      <c r="B195" s="13" t="n"/>
      <c r="C195" s="13" t="n"/>
      <c r="D195" s="13" t="n"/>
      <c r="E195" s="13" t="n"/>
      <c r="F195" s="13" t="n"/>
      <c r="G195" s="13" t="n"/>
    </row>
    <row r="196">
      <c r="A196" s="15" t="n"/>
      <c r="B196" s="15" t="n"/>
      <c r="C196" s="15" t="n"/>
      <c r="D196" s="15" t="n"/>
      <c r="E196" s="15" t="n"/>
      <c r="F196" s="15" t="n"/>
      <c r="G196" s="15" t="n"/>
    </row>
    <row r="197">
      <c r="A197" s="13" t="n"/>
      <c r="B197" s="13" t="n"/>
      <c r="C197" s="13" t="n"/>
      <c r="D197" s="13" t="n"/>
      <c r="E197" s="13" t="n"/>
      <c r="F197" s="13" t="n"/>
      <c r="G197" s="13" t="n"/>
    </row>
    <row r="198">
      <c r="A198" s="15" t="n"/>
      <c r="B198" s="15" t="n"/>
      <c r="C198" s="15" t="n"/>
      <c r="D198" s="15" t="n"/>
      <c r="E198" s="15" t="n"/>
      <c r="F198" s="15" t="n"/>
      <c r="G198" s="15" t="n"/>
    </row>
    <row r="199">
      <c r="A199" s="13" t="n"/>
      <c r="B199" s="13" t="n"/>
      <c r="C199" s="13" t="n"/>
      <c r="D199" s="13" t="n"/>
      <c r="E199" s="13" t="n"/>
      <c r="F199" s="13" t="n"/>
      <c r="G199" s="13" t="n"/>
    </row>
    <row r="200">
      <c r="A200" s="15" t="n"/>
      <c r="B200" s="15" t="n"/>
      <c r="C200" s="15" t="n"/>
      <c r="D200" s="15" t="n"/>
      <c r="E200" s="15" t="n"/>
      <c r="F200" s="15" t="n"/>
      <c r="G200" s="15" t="n"/>
    </row>
    <row r="201">
      <c r="A201" s="13" t="n"/>
      <c r="B201" s="13" t="n"/>
      <c r="C201" s="13" t="n"/>
      <c r="D201" s="13" t="n"/>
      <c r="E201" s="13" t="n"/>
      <c r="F201" s="13" t="n"/>
      <c r="G201" s="13" t="n"/>
    </row>
    <row r="202">
      <c r="A202" s="15" t="n"/>
      <c r="B202" s="15" t="n"/>
      <c r="C202" s="15" t="n"/>
      <c r="D202" s="15" t="n"/>
      <c r="E202" s="15" t="n"/>
      <c r="F202" s="15" t="n"/>
      <c r="G202" s="15" t="n"/>
    </row>
    <row r="203">
      <c r="A203" s="13" t="n"/>
      <c r="B203" s="13" t="n"/>
      <c r="C203" s="13" t="n"/>
      <c r="D203" s="13" t="n"/>
      <c r="E203" s="13" t="n"/>
      <c r="F203" s="13" t="n"/>
      <c r="G203" s="13" t="n"/>
    </row>
    <row r="204">
      <c r="A204" s="15" t="n"/>
      <c r="B204" s="15" t="n"/>
      <c r="C204" s="15" t="n"/>
      <c r="D204" s="15" t="n"/>
      <c r="E204" s="15" t="n"/>
      <c r="F204" s="15" t="n"/>
      <c r="G204" s="15" t="n"/>
    </row>
    <row r="205">
      <c r="A205" s="13" t="n"/>
      <c r="B205" s="13" t="n"/>
      <c r="C205" s="13" t="n"/>
      <c r="D205" s="13" t="n"/>
      <c r="E205" s="13" t="n"/>
      <c r="F205" s="13" t="n"/>
      <c r="G205" s="13" t="n"/>
    </row>
    <row r="206">
      <c r="A206" s="15" t="n"/>
      <c r="B206" s="15" t="n"/>
      <c r="C206" s="15" t="n"/>
      <c r="D206" s="15" t="n"/>
      <c r="E206" s="15" t="n"/>
      <c r="F206" s="15" t="n"/>
      <c r="G206" s="15" t="n"/>
    </row>
    <row r="207">
      <c r="A207" s="13" t="n"/>
      <c r="B207" s="13" t="n"/>
      <c r="C207" s="13" t="n"/>
      <c r="D207" s="13" t="n"/>
      <c r="E207" s="13" t="n"/>
      <c r="F207" s="13" t="n"/>
      <c r="G207" s="13" t="n"/>
    </row>
    <row r="208">
      <c r="A208" s="15" t="n"/>
      <c r="B208" s="15" t="n"/>
      <c r="C208" s="15" t="n"/>
      <c r="D208" s="15" t="n"/>
      <c r="E208" s="15" t="n"/>
      <c r="F208" s="15" t="n"/>
      <c r="G208" s="15" t="n"/>
    </row>
    <row r="209">
      <c r="A209" s="13" t="n"/>
      <c r="B209" s="13" t="n"/>
      <c r="C209" s="13" t="n"/>
      <c r="D209" s="13" t="n"/>
      <c r="E209" s="13" t="n"/>
      <c r="F209" s="13" t="n"/>
      <c r="G209" s="13" t="n"/>
    </row>
    <row r="210">
      <c r="A210" s="15" t="n"/>
      <c r="B210" s="15" t="n"/>
      <c r="C210" s="15" t="n"/>
      <c r="D210" s="15" t="n"/>
      <c r="E210" s="15" t="n"/>
      <c r="F210" s="15" t="n"/>
      <c r="G210" s="15" t="n"/>
    </row>
    <row r="211">
      <c r="A211" s="13" t="n"/>
      <c r="B211" s="13" t="n"/>
      <c r="C211" s="13" t="n"/>
      <c r="D211" s="13" t="n"/>
      <c r="E211" s="13" t="n"/>
      <c r="F211" s="13" t="n"/>
      <c r="G211" s="13" t="n"/>
    </row>
    <row r="212">
      <c r="A212" s="15" t="n"/>
      <c r="B212" s="15" t="n"/>
      <c r="C212" s="15" t="n"/>
      <c r="D212" s="15" t="n"/>
      <c r="E212" s="15" t="n"/>
      <c r="F212" s="15" t="n"/>
      <c r="G212" s="15" t="n"/>
    </row>
    <row r="213">
      <c r="A213" s="13" t="n"/>
      <c r="B213" s="13" t="n"/>
      <c r="C213" s="13" t="n"/>
      <c r="D213" s="13" t="n"/>
      <c r="E213" s="13" t="n"/>
      <c r="F213" s="13" t="n"/>
      <c r="G213" s="13" t="n"/>
    </row>
    <row r="214">
      <c r="A214" s="15" t="n"/>
      <c r="B214" s="15" t="n"/>
      <c r="C214" s="15" t="n"/>
      <c r="D214" s="15" t="n"/>
      <c r="E214" s="15" t="n"/>
      <c r="F214" s="15" t="n"/>
      <c r="G214" s="15" t="n"/>
    </row>
    <row r="215">
      <c r="A215" s="13" t="n"/>
      <c r="B215" s="13" t="n"/>
      <c r="C215" s="13" t="n"/>
      <c r="D215" s="13" t="n"/>
      <c r="E215" s="13" t="n"/>
      <c r="F215" s="13" t="n"/>
      <c r="G215" s="13" t="n"/>
    </row>
    <row r="216">
      <c r="A216" s="15" t="n"/>
      <c r="B216" s="15" t="n"/>
      <c r="C216" s="15" t="n"/>
      <c r="D216" s="15" t="n"/>
      <c r="E216" s="15" t="n"/>
      <c r="F216" s="15" t="n"/>
      <c r="G216" s="15" t="n"/>
    </row>
    <row r="217">
      <c r="A217" s="13" t="n"/>
      <c r="B217" s="13" t="n"/>
      <c r="C217" s="13" t="n"/>
      <c r="D217" s="13" t="n"/>
      <c r="E217" s="13" t="n"/>
      <c r="F217" s="13" t="n"/>
      <c r="G217" s="13" t="n"/>
    </row>
    <row r="218">
      <c r="A218" s="15" t="n"/>
      <c r="B218" s="15" t="n"/>
      <c r="C218" s="15" t="n"/>
      <c r="D218" s="15" t="n"/>
      <c r="E218" s="15" t="n"/>
      <c r="F218" s="15" t="n"/>
      <c r="G218" s="15" t="n"/>
    </row>
    <row r="219">
      <c r="A219" s="13" t="n"/>
      <c r="B219" s="13" t="n"/>
      <c r="C219" s="13" t="n"/>
      <c r="D219" s="13" t="n"/>
      <c r="E219" s="13" t="n"/>
      <c r="F219" s="13" t="n"/>
      <c r="G219" s="13" t="n"/>
    </row>
    <row r="220">
      <c r="A220" s="15" t="n"/>
      <c r="B220" s="15" t="n"/>
      <c r="C220" s="15" t="n"/>
      <c r="D220" s="15" t="n"/>
      <c r="E220" s="15" t="n"/>
      <c r="F220" s="15" t="n"/>
      <c r="G220" s="15" t="n"/>
    </row>
    <row r="221">
      <c r="A221" s="13" t="n"/>
      <c r="B221" s="13" t="n"/>
      <c r="C221" s="13" t="n"/>
      <c r="D221" s="13" t="n"/>
      <c r="E221" s="13" t="n"/>
      <c r="F221" s="13" t="n"/>
      <c r="G221" s="13" t="n"/>
    </row>
    <row r="222">
      <c r="A222" s="15" t="n"/>
      <c r="B222" s="15" t="n"/>
      <c r="C222" s="15" t="n"/>
      <c r="D222" s="15" t="n"/>
      <c r="E222" s="15" t="n"/>
      <c r="F222" s="15" t="n"/>
      <c r="G222" s="15" t="n"/>
    </row>
    <row r="223">
      <c r="A223" s="13" t="n"/>
      <c r="B223" s="13" t="n"/>
      <c r="C223" s="13" t="n"/>
      <c r="D223" s="13" t="n"/>
      <c r="E223" s="13" t="n"/>
      <c r="F223" s="13" t="n"/>
      <c r="G223" s="13" t="n"/>
    </row>
    <row r="224">
      <c r="A224" s="15" t="n"/>
      <c r="B224" s="15" t="n"/>
      <c r="C224" s="15" t="n"/>
      <c r="D224" s="15" t="n"/>
      <c r="E224" s="15" t="n"/>
      <c r="F224" s="15" t="n"/>
      <c r="G224" s="15" t="n"/>
    </row>
    <row r="225">
      <c r="A225" s="13" t="n"/>
      <c r="B225" s="13" t="n"/>
      <c r="C225" s="13" t="n"/>
      <c r="D225" s="13" t="n"/>
      <c r="E225" s="13" t="n"/>
      <c r="F225" s="13" t="n"/>
      <c r="G225" s="13" t="n"/>
    </row>
    <row r="226">
      <c r="A226" s="15" t="n"/>
      <c r="B226" s="15" t="n"/>
      <c r="C226" s="15" t="n"/>
      <c r="D226" s="15" t="n"/>
      <c r="E226" s="15" t="n"/>
      <c r="F226" s="15" t="n"/>
      <c r="G226" s="15" t="n"/>
    </row>
    <row r="227">
      <c r="A227" s="13" t="n"/>
      <c r="B227" s="13" t="n"/>
      <c r="C227" s="13" t="n"/>
      <c r="D227" s="13" t="n"/>
      <c r="E227" s="13" t="n"/>
      <c r="F227" s="13" t="n"/>
      <c r="G227" s="13" t="n"/>
    </row>
    <row r="228">
      <c r="A228" s="15" t="n"/>
      <c r="B228" s="15" t="n"/>
      <c r="C228" s="15" t="n"/>
      <c r="D228" s="15" t="n"/>
      <c r="E228" s="15" t="n"/>
      <c r="F228" s="15" t="n"/>
      <c r="G228" s="15" t="n"/>
    </row>
    <row r="229">
      <c r="A229" s="13" t="n"/>
      <c r="B229" s="13" t="n"/>
      <c r="C229" s="13" t="n"/>
      <c r="D229" s="13" t="n"/>
      <c r="E229" s="13" t="n"/>
      <c r="F229" s="13" t="n"/>
      <c r="G229" s="13" t="n"/>
    </row>
    <row r="230">
      <c r="A230" s="15" t="n"/>
      <c r="B230" s="15" t="n"/>
      <c r="C230" s="15" t="n"/>
      <c r="D230" s="15" t="n"/>
      <c r="E230" s="15" t="n"/>
      <c r="F230" s="15" t="n"/>
      <c r="G230" s="15" t="n"/>
    </row>
    <row r="231">
      <c r="A231" s="13" t="n"/>
      <c r="B231" s="13" t="n"/>
      <c r="C231" s="13" t="n"/>
      <c r="D231" s="13" t="n"/>
      <c r="E231" s="13" t="n"/>
      <c r="F231" s="13" t="n"/>
      <c r="G231" s="13" t="n"/>
    </row>
    <row r="232">
      <c r="A232" s="15" t="n"/>
      <c r="B232" s="15" t="n"/>
      <c r="C232" s="15" t="n"/>
      <c r="D232" s="15" t="n"/>
      <c r="E232" s="15" t="n"/>
      <c r="F232" s="15" t="n"/>
      <c r="G232" s="15" t="n"/>
    </row>
    <row r="233">
      <c r="A233" s="13" t="n"/>
      <c r="B233" s="13" t="n"/>
      <c r="C233" s="13" t="n"/>
      <c r="D233" s="13" t="n"/>
      <c r="E233" s="13" t="n"/>
      <c r="F233" s="13" t="n"/>
      <c r="G233" s="13" t="n"/>
    </row>
    <row r="234">
      <c r="A234" s="15" t="n"/>
      <c r="B234" s="15" t="n"/>
      <c r="C234" s="15" t="n"/>
      <c r="D234" s="15" t="n"/>
      <c r="E234" s="15" t="n"/>
      <c r="F234" s="15" t="n"/>
      <c r="G234" s="15" t="n"/>
    </row>
    <row r="235">
      <c r="A235" s="13" t="n"/>
      <c r="B235" s="13" t="n"/>
      <c r="C235" s="13" t="n"/>
      <c r="D235" s="13" t="n"/>
      <c r="E235" s="13" t="n"/>
      <c r="F235" s="13" t="n"/>
      <c r="G235" s="13" t="n"/>
    </row>
    <row r="236">
      <c r="A236" s="15" t="n"/>
      <c r="B236" s="15" t="n"/>
      <c r="C236" s="15" t="n"/>
      <c r="D236" s="15" t="n"/>
      <c r="E236" s="15" t="n"/>
      <c r="F236" s="15" t="n"/>
      <c r="G236" s="15" t="n"/>
    </row>
    <row r="237">
      <c r="A237" s="13" t="n"/>
      <c r="B237" s="13" t="n"/>
      <c r="C237" s="13" t="n"/>
      <c r="D237" s="13" t="n"/>
      <c r="E237" s="13" t="n"/>
      <c r="F237" s="13" t="n"/>
      <c r="G237" s="13" t="n"/>
    </row>
    <row r="238">
      <c r="A238" s="15" t="n"/>
      <c r="B238" s="15" t="n"/>
      <c r="C238" s="15" t="n"/>
      <c r="D238" s="15" t="n"/>
      <c r="E238" s="15" t="n"/>
      <c r="F238" s="15" t="n"/>
      <c r="G238" s="15" t="n"/>
    </row>
    <row r="239">
      <c r="A239" s="13" t="n"/>
      <c r="B239" s="13" t="n"/>
      <c r="C239" s="13" t="n"/>
      <c r="D239" s="13" t="n"/>
      <c r="E239" s="13" t="n"/>
      <c r="F239" s="13" t="n"/>
      <c r="G239" s="13" t="n"/>
    </row>
    <row r="240">
      <c r="A240" s="15" t="n"/>
      <c r="B240" s="15" t="n"/>
      <c r="C240" s="15" t="n"/>
      <c r="D240" s="15" t="n"/>
      <c r="E240" s="15" t="n"/>
      <c r="F240" s="15" t="n"/>
      <c r="G240" s="15" t="n"/>
    </row>
    <row r="241">
      <c r="A241" s="13" t="n"/>
      <c r="B241" s="13" t="n"/>
      <c r="C241" s="13" t="n"/>
      <c r="D241" s="13" t="n"/>
      <c r="E241" s="13" t="n"/>
      <c r="F241" s="13" t="n"/>
      <c r="G241" s="13" t="n"/>
    </row>
    <row r="242">
      <c r="A242" s="15" t="n"/>
      <c r="B242" s="15" t="n"/>
      <c r="C242" s="15" t="n"/>
      <c r="D242" s="15" t="n"/>
      <c r="E242" s="15" t="n"/>
      <c r="F242" s="15" t="n"/>
      <c r="G242" s="15" t="n"/>
    </row>
    <row r="243">
      <c r="A243" s="13" t="n"/>
      <c r="B243" s="13" t="n"/>
      <c r="C243" s="13" t="n"/>
      <c r="D243" s="13" t="n"/>
      <c r="E243" s="13" t="n"/>
      <c r="F243" s="13" t="n"/>
      <c r="G243" s="13" t="n"/>
    </row>
    <row r="244">
      <c r="A244" s="15" t="n"/>
      <c r="B244" s="15" t="n"/>
      <c r="C244" s="15" t="n"/>
      <c r="D244" s="15" t="n"/>
      <c r="E244" s="15" t="n"/>
      <c r="F244" s="15" t="n"/>
      <c r="G244" s="15" t="n"/>
    </row>
    <row r="245">
      <c r="A245" s="13" t="n"/>
      <c r="B245" s="13" t="n"/>
      <c r="C245" s="13" t="n"/>
      <c r="D245" s="13" t="n"/>
      <c r="E245" s="13" t="n"/>
      <c r="F245" s="13" t="n"/>
      <c r="G245" s="13" t="n"/>
    </row>
    <row r="246">
      <c r="A246" s="15" t="n"/>
      <c r="B246" s="15" t="n"/>
      <c r="C246" s="15" t="n"/>
      <c r="D246" s="15" t="n"/>
      <c r="E246" s="15" t="n"/>
      <c r="F246" s="15" t="n"/>
      <c r="G246" s="15" t="n"/>
    </row>
    <row r="247">
      <c r="A247" s="13" t="n"/>
      <c r="B247" s="13" t="n"/>
      <c r="C247" s="13" t="n"/>
      <c r="D247" s="13" t="n"/>
      <c r="E247" s="13" t="n"/>
      <c r="F247" s="13" t="n"/>
      <c r="G247" s="13" t="n"/>
    </row>
    <row r="248">
      <c r="A248" s="15" t="n"/>
      <c r="B248" s="15" t="n"/>
      <c r="C248" s="15" t="n"/>
      <c r="D248" s="15" t="n"/>
      <c r="E248" s="15" t="n"/>
      <c r="F248" s="15" t="n"/>
      <c r="G248" s="15" t="n"/>
    </row>
    <row r="249">
      <c r="A249" s="13" t="n"/>
      <c r="B249" s="13" t="n"/>
      <c r="C249" s="13" t="n"/>
      <c r="D249" s="13" t="n"/>
      <c r="E249" s="13" t="n"/>
      <c r="F249" s="13" t="n"/>
      <c r="G249" s="13" t="n"/>
    </row>
    <row r="250">
      <c r="A250" s="15" t="n"/>
      <c r="B250" s="15" t="n"/>
      <c r="C250" s="15" t="n"/>
      <c r="D250" s="15" t="n"/>
      <c r="E250" s="15" t="n"/>
      <c r="F250" s="15" t="n"/>
      <c r="G250" s="15" t="n"/>
    </row>
    <row r="251">
      <c r="A251" s="13" t="n"/>
      <c r="B251" s="13" t="n"/>
      <c r="C251" s="13" t="n"/>
      <c r="D251" s="13" t="n"/>
      <c r="E251" s="13" t="n"/>
      <c r="F251" s="13" t="n"/>
      <c r="G251" s="13" t="n"/>
    </row>
    <row r="252">
      <c r="A252" s="15" t="n"/>
      <c r="B252" s="15" t="n"/>
      <c r="C252" s="15" t="n"/>
      <c r="D252" s="15" t="n"/>
      <c r="E252" s="15" t="n"/>
      <c r="F252" s="15" t="n"/>
      <c r="G252" s="15" t="n"/>
    </row>
    <row r="253">
      <c r="A253" s="13" t="n"/>
      <c r="B253" s="13" t="n"/>
      <c r="C253" s="13" t="n"/>
      <c r="D253" s="13" t="n"/>
      <c r="E253" s="13" t="n"/>
      <c r="F253" s="13" t="n"/>
      <c r="G253" s="13" t="n"/>
    </row>
    <row r="254">
      <c r="A254" s="15" t="n"/>
      <c r="B254" s="15" t="n"/>
      <c r="C254" s="15" t="n"/>
      <c r="D254" s="15" t="n"/>
      <c r="E254" s="15" t="n"/>
      <c r="F254" s="15" t="n"/>
      <c r="G254" s="15" t="n"/>
    </row>
    <row r="255">
      <c r="A255" s="13" t="n"/>
      <c r="B255" s="13" t="n"/>
      <c r="C255" s="13" t="n"/>
      <c r="D255" s="13" t="n"/>
      <c r="E255" s="13" t="n"/>
      <c r="F255" s="13" t="n"/>
      <c r="G255" s="13" t="n"/>
    </row>
    <row r="256">
      <c r="A256" s="15" t="n"/>
      <c r="B256" s="15" t="n"/>
      <c r="C256" s="15" t="n"/>
      <c r="D256" s="15" t="n"/>
      <c r="E256" s="15" t="n"/>
      <c r="F256" s="15" t="n"/>
      <c r="G256" s="15" t="n"/>
    </row>
    <row r="257">
      <c r="A257" s="13" t="n"/>
      <c r="B257" s="13" t="n"/>
      <c r="C257" s="13" t="n"/>
      <c r="D257" s="13" t="n"/>
      <c r="E257" s="13" t="n"/>
      <c r="F257" s="13" t="n"/>
      <c r="G257" s="13" t="n"/>
    </row>
    <row r="258">
      <c r="A258" s="15" t="n"/>
      <c r="B258" s="15" t="n"/>
      <c r="C258" s="15" t="n"/>
      <c r="D258" s="15" t="n"/>
      <c r="E258" s="15" t="n"/>
      <c r="F258" s="15" t="n"/>
      <c r="G258" s="15" t="n"/>
    </row>
    <row r="259">
      <c r="A259" s="13" t="n"/>
      <c r="B259" s="13" t="n"/>
      <c r="C259" s="13" t="n"/>
      <c r="D259" s="13" t="n"/>
      <c r="E259" s="13" t="n"/>
      <c r="F259" s="13" t="n"/>
      <c r="G259" s="13" t="n"/>
    </row>
    <row r="260">
      <c r="A260" s="15" t="n"/>
      <c r="B260" s="15" t="n"/>
      <c r="C260" s="15" t="n"/>
      <c r="D260" s="15" t="n"/>
      <c r="E260" s="15" t="n"/>
      <c r="F260" s="15" t="n"/>
      <c r="G260" s="15" t="n"/>
    </row>
    <row r="261">
      <c r="A261" s="13" t="n"/>
      <c r="B261" s="13" t="n"/>
      <c r="C261" s="13" t="n"/>
      <c r="D261" s="13" t="n"/>
      <c r="E261" s="13" t="n"/>
      <c r="F261" s="13" t="n"/>
      <c r="G261" s="13" t="n"/>
    </row>
    <row r="262">
      <c r="A262" s="15" t="n"/>
      <c r="B262" s="15" t="n"/>
      <c r="C262" s="15" t="n"/>
      <c r="D262" s="15" t="n"/>
      <c r="E262" s="15" t="n"/>
      <c r="F262" s="15" t="n"/>
      <c r="G262" s="15" t="n"/>
    </row>
    <row r="263">
      <c r="A263" s="13" t="n"/>
      <c r="B263" s="13" t="n"/>
      <c r="C263" s="13" t="n"/>
      <c r="D263" s="13" t="n"/>
      <c r="E263" s="13" t="n"/>
      <c r="F263" s="13" t="n"/>
      <c r="G263" s="13" t="n"/>
    </row>
    <row r="264">
      <c r="A264" s="15" t="n"/>
      <c r="B264" s="15" t="n"/>
      <c r="C264" s="15" t="n"/>
      <c r="D264" s="15" t="n"/>
      <c r="E264" s="15" t="n"/>
      <c r="F264" s="15" t="n"/>
      <c r="G264" s="15" t="n"/>
    </row>
    <row r="265">
      <c r="A265" s="13" t="n"/>
      <c r="B265" s="13" t="n"/>
      <c r="C265" s="13" t="n"/>
      <c r="D265" s="13" t="n"/>
      <c r="E265" s="13" t="n"/>
      <c r="F265" s="13" t="n"/>
      <c r="G265" s="13" t="n"/>
    </row>
    <row r="266">
      <c r="A266" s="15" t="n"/>
      <c r="B266" s="15" t="n"/>
      <c r="C266" s="15" t="n"/>
      <c r="D266" s="15" t="n"/>
      <c r="E266" s="15" t="n"/>
      <c r="F266" s="15" t="n"/>
      <c r="G266" s="15" t="n"/>
    </row>
    <row r="267">
      <c r="A267" s="13" t="n"/>
      <c r="B267" s="13" t="n"/>
      <c r="C267" s="13" t="n"/>
      <c r="D267" s="13" t="n"/>
      <c r="E267" s="13" t="n"/>
      <c r="F267" s="13" t="n"/>
      <c r="G267" s="13" t="n"/>
    </row>
    <row r="268">
      <c r="A268" s="15" t="n"/>
      <c r="B268" s="15" t="n"/>
      <c r="C268" s="15" t="n"/>
      <c r="D268" s="15" t="n"/>
      <c r="E268" s="15" t="n"/>
      <c r="F268" s="15" t="n"/>
      <c r="G268" s="15" t="n"/>
    </row>
    <row r="269">
      <c r="A269" s="13" t="n"/>
      <c r="B269" s="13" t="n"/>
      <c r="C269" s="13" t="n"/>
      <c r="D269" s="13" t="n"/>
      <c r="E269" s="13" t="n"/>
      <c r="F269" s="13" t="n"/>
      <c r="G269" s="13" t="n"/>
    </row>
    <row r="270">
      <c r="A270" s="15" t="n"/>
      <c r="B270" s="15" t="n"/>
      <c r="C270" s="15" t="n"/>
      <c r="D270" s="15" t="n"/>
      <c r="E270" s="15" t="n"/>
      <c r="F270" s="15" t="n"/>
      <c r="G270" s="15" t="n"/>
    </row>
    <row r="271">
      <c r="A271" s="13" t="n"/>
      <c r="B271" s="13" t="n"/>
      <c r="C271" s="13" t="n"/>
      <c r="D271" s="13" t="n"/>
      <c r="E271" s="13" t="n"/>
      <c r="F271" s="13" t="n"/>
      <c r="G271" s="13" t="n"/>
    </row>
    <row r="272">
      <c r="A272" s="15" t="n"/>
      <c r="B272" s="15" t="n"/>
      <c r="C272" s="15" t="n"/>
      <c r="D272" s="15" t="n"/>
      <c r="E272" s="15" t="n"/>
      <c r="F272" s="15" t="n"/>
      <c r="G272" s="15" t="n"/>
    </row>
    <row r="273">
      <c r="A273" s="13" t="n"/>
      <c r="B273" s="13" t="n"/>
      <c r="C273" s="13" t="n"/>
      <c r="D273" s="13" t="n"/>
      <c r="E273" s="13" t="n"/>
      <c r="F273" s="13" t="n"/>
      <c r="G273" s="13" t="n"/>
    </row>
    <row r="274">
      <c r="A274" s="15" t="n"/>
      <c r="B274" s="15" t="n"/>
      <c r="C274" s="15" t="n"/>
      <c r="D274" s="15" t="n"/>
      <c r="E274" s="15" t="n"/>
      <c r="F274" s="15" t="n"/>
      <c r="G274" s="15" t="n"/>
    </row>
    <row r="275">
      <c r="A275" s="13" t="n"/>
      <c r="B275" s="13" t="n"/>
      <c r="C275" s="13" t="n"/>
      <c r="D275" s="13" t="n"/>
      <c r="E275" s="13" t="n"/>
      <c r="F275" s="13" t="n"/>
      <c r="G275" s="13" t="n"/>
    </row>
    <row r="276">
      <c r="A276" s="15" t="n"/>
      <c r="B276" s="15" t="n"/>
      <c r="C276" s="15" t="n"/>
      <c r="D276" s="15" t="n"/>
      <c r="E276" s="15" t="n"/>
      <c r="F276" s="15" t="n"/>
      <c r="G276" s="15" t="n"/>
    </row>
    <row r="277">
      <c r="A277" s="13" t="n"/>
      <c r="B277" s="13" t="n"/>
      <c r="C277" s="13" t="n"/>
      <c r="D277" s="13" t="n"/>
      <c r="E277" s="13" t="n"/>
      <c r="F277" s="13" t="n"/>
      <c r="G277" s="13" t="n"/>
    </row>
    <row r="278">
      <c r="A278" s="15" t="n"/>
      <c r="B278" s="15" t="n"/>
      <c r="C278" s="15" t="n"/>
      <c r="D278" s="15" t="n"/>
      <c r="E278" s="15" t="n"/>
      <c r="F278" s="15" t="n"/>
      <c r="G278" s="15" t="n"/>
    </row>
    <row r="279">
      <c r="A279" s="13" t="n"/>
      <c r="B279" s="13" t="n"/>
      <c r="C279" s="13" t="n"/>
      <c r="D279" s="13" t="n"/>
      <c r="E279" s="13" t="n"/>
      <c r="F279" s="13" t="n"/>
      <c r="G279" s="13" t="n"/>
    </row>
    <row r="280">
      <c r="A280" s="15" t="n"/>
      <c r="B280" s="15" t="n"/>
      <c r="C280" s="15" t="n"/>
      <c r="D280" s="15" t="n"/>
      <c r="E280" s="15" t="n"/>
      <c r="F280" s="15" t="n"/>
      <c r="G280" s="15" t="n"/>
    </row>
    <row r="281">
      <c r="A281" s="13" t="n"/>
      <c r="B281" s="13" t="n"/>
      <c r="C281" s="13" t="n"/>
      <c r="D281" s="13" t="n"/>
      <c r="E281" s="13" t="n"/>
      <c r="F281" s="13" t="n"/>
      <c r="G281" s="13" t="n"/>
    </row>
    <row r="282">
      <c r="A282" s="15" t="n"/>
      <c r="B282" s="15" t="n"/>
      <c r="C282" s="15" t="n"/>
      <c r="D282" s="15" t="n"/>
      <c r="E282" s="15" t="n"/>
      <c r="F282" s="15" t="n"/>
      <c r="G282" s="15" t="n"/>
    </row>
    <row r="283">
      <c r="A283" s="13" t="n"/>
      <c r="B283" s="13" t="n"/>
      <c r="C283" s="13" t="n"/>
      <c r="D283" s="13" t="n"/>
      <c r="E283" s="13" t="n"/>
      <c r="F283" s="13" t="n"/>
      <c r="G283" s="13" t="n"/>
    </row>
    <row r="284">
      <c r="A284" s="15" t="n"/>
      <c r="B284" s="15" t="n"/>
      <c r="C284" s="15" t="n"/>
      <c r="D284" s="15" t="n"/>
      <c r="E284" s="15" t="n"/>
      <c r="F284" s="15" t="n"/>
      <c r="G284" s="15" t="n"/>
    </row>
    <row r="285">
      <c r="A285" s="13" t="n"/>
      <c r="B285" s="13" t="n"/>
      <c r="C285" s="13" t="n"/>
      <c r="D285" s="13" t="n"/>
      <c r="E285" s="13" t="n"/>
      <c r="F285" s="13" t="n"/>
      <c r="G285" s="13" t="n"/>
    </row>
    <row r="286">
      <c r="A286" s="15" t="n"/>
      <c r="B286" s="15" t="n"/>
      <c r="C286" s="15" t="n"/>
      <c r="D286" s="15" t="n"/>
      <c r="E286" s="15" t="n"/>
      <c r="F286" s="15" t="n"/>
      <c r="G286" s="15" t="n"/>
    </row>
    <row r="287">
      <c r="A287" s="13" t="n"/>
      <c r="B287" s="13" t="n"/>
      <c r="C287" s="13" t="n"/>
      <c r="D287" s="13" t="n"/>
      <c r="E287" s="13" t="n"/>
      <c r="F287" s="13" t="n"/>
      <c r="G287" s="13" t="n"/>
    </row>
    <row r="288">
      <c r="A288" s="15" t="n"/>
      <c r="B288" s="15" t="n"/>
      <c r="C288" s="15" t="n"/>
      <c r="D288" s="15" t="n"/>
      <c r="E288" s="15" t="n"/>
      <c r="F288" s="15" t="n"/>
      <c r="G288" s="15" t="n"/>
    </row>
    <row r="289">
      <c r="A289" s="13" t="n"/>
      <c r="B289" s="13" t="n"/>
      <c r="C289" s="13" t="n"/>
      <c r="D289" s="13" t="n"/>
      <c r="E289" s="13" t="n"/>
      <c r="F289" s="13" t="n"/>
      <c r="G289" s="13" t="n"/>
    </row>
    <row r="290">
      <c r="A290" s="15" t="n"/>
      <c r="B290" s="15" t="n"/>
      <c r="C290" s="15" t="n"/>
      <c r="D290" s="15" t="n"/>
      <c r="E290" s="15" t="n"/>
      <c r="F290" s="15" t="n"/>
      <c r="G290" s="15" t="n"/>
    </row>
    <row r="291">
      <c r="A291" s="13" t="n"/>
      <c r="B291" s="13" t="n"/>
      <c r="C291" s="13" t="n"/>
      <c r="D291" s="13" t="n"/>
      <c r="E291" s="13" t="n"/>
      <c r="F291" s="13" t="n"/>
      <c r="G291" s="13" t="n"/>
    </row>
    <row r="292">
      <c r="A292" s="15" t="n"/>
      <c r="B292" s="15" t="n"/>
      <c r="C292" s="15" t="n"/>
      <c r="D292" s="15" t="n"/>
      <c r="E292" s="15" t="n"/>
      <c r="F292" s="15" t="n"/>
      <c r="G292" s="15" t="n"/>
    </row>
    <row r="293">
      <c r="A293" s="13" t="n"/>
      <c r="B293" s="13" t="n"/>
      <c r="C293" s="13" t="n"/>
      <c r="D293" s="13" t="n"/>
      <c r="E293" s="13" t="n"/>
      <c r="F293" s="13" t="n"/>
      <c r="G293" s="13" t="n"/>
    </row>
    <row r="294">
      <c r="A294" s="15" t="n"/>
      <c r="B294" s="15" t="n"/>
      <c r="C294" s="15" t="n"/>
      <c r="D294" s="15" t="n"/>
      <c r="E294" s="15" t="n"/>
      <c r="F294" s="15" t="n"/>
      <c r="G294" s="15" t="n"/>
    </row>
    <row r="295">
      <c r="A295" s="13" t="n"/>
      <c r="B295" s="13" t="n"/>
      <c r="C295" s="13" t="n"/>
      <c r="D295" s="13" t="n"/>
      <c r="E295" s="13" t="n"/>
      <c r="F295" s="13" t="n"/>
      <c r="G295" s="13" t="n"/>
    </row>
    <row r="296">
      <c r="A296" s="15" t="n"/>
      <c r="B296" s="15" t="n"/>
      <c r="C296" s="15" t="n"/>
      <c r="D296" s="15" t="n"/>
      <c r="E296" s="15" t="n"/>
      <c r="F296" s="15" t="n"/>
      <c r="G296" s="15" t="n"/>
    </row>
    <row r="297">
      <c r="A297" s="13" t="n"/>
      <c r="B297" s="13" t="n"/>
      <c r="C297" s="13" t="n"/>
      <c r="D297" s="13" t="n"/>
      <c r="E297" s="13" t="n"/>
      <c r="F297" s="13" t="n"/>
      <c r="G297" s="13" t="n"/>
    </row>
    <row r="298">
      <c r="A298" s="15" t="n"/>
      <c r="B298" s="15" t="n"/>
      <c r="C298" s="15" t="n"/>
      <c r="D298" s="15" t="n"/>
      <c r="E298" s="15" t="n"/>
      <c r="F298" s="15" t="n"/>
      <c r="G298" s="15" t="n"/>
    </row>
    <row r="299">
      <c r="A299" s="13" t="n"/>
      <c r="B299" s="13" t="n"/>
      <c r="C299" s="13" t="n"/>
      <c r="D299" s="13" t="n"/>
      <c r="E299" s="13" t="n"/>
      <c r="F299" s="13" t="n"/>
      <c r="G299" s="13" t="n"/>
    </row>
    <row r="300">
      <c r="A300" s="15" t="n"/>
      <c r="B300" s="15" t="n"/>
      <c r="C300" s="15" t="n"/>
      <c r="D300" s="15" t="n"/>
      <c r="E300" s="15" t="n"/>
      <c r="F300" s="15" t="n"/>
      <c r="G300" s="15" t="n"/>
    </row>
    <row r="301">
      <c r="A301" s="13" t="n"/>
      <c r="B301" s="13" t="n"/>
      <c r="C301" s="13" t="n"/>
      <c r="D301" s="13" t="n"/>
      <c r="E301" s="13" t="n"/>
      <c r="F301" s="13" t="n"/>
      <c r="G301" s="13" t="n"/>
    </row>
    <row r="302">
      <c r="A302" s="15" t="n"/>
      <c r="B302" s="15" t="n"/>
      <c r="C302" s="15" t="n"/>
      <c r="D302" s="15" t="n"/>
      <c r="E302" s="15" t="n"/>
      <c r="F302" s="15" t="n"/>
      <c r="G302" s="15" t="n"/>
    </row>
    <row r="303">
      <c r="A303" s="13" t="n"/>
      <c r="B303" s="13" t="n"/>
      <c r="C303" s="13" t="n"/>
      <c r="D303" s="13" t="n"/>
      <c r="E303" s="13" t="n"/>
      <c r="F303" s="13" t="n"/>
      <c r="G303" s="13" t="n"/>
    </row>
    <row r="304">
      <c r="A304" s="15" t="n"/>
      <c r="B304" s="15" t="n"/>
      <c r="C304" s="15" t="n"/>
      <c r="D304" s="15" t="n"/>
      <c r="E304" s="15" t="n"/>
      <c r="F304" s="15" t="n"/>
      <c r="G304" s="15" t="n"/>
    </row>
    <row r="305">
      <c r="A305" s="13" t="n"/>
      <c r="B305" s="13" t="n"/>
      <c r="C305" s="13" t="n"/>
      <c r="D305" s="13" t="n"/>
      <c r="E305" s="13" t="n"/>
      <c r="F305" s="13" t="n"/>
      <c r="G305" s="13" t="n"/>
    </row>
    <row r="306">
      <c r="A306" s="15" t="n"/>
      <c r="B306" s="15" t="n"/>
      <c r="C306" s="15" t="n"/>
      <c r="D306" s="15" t="n"/>
      <c r="E306" s="15" t="n"/>
      <c r="F306" s="15" t="n"/>
      <c r="G306" s="15" t="n"/>
    </row>
    <row r="307">
      <c r="A307" s="13" t="n"/>
      <c r="B307" s="13" t="n"/>
      <c r="C307" s="13" t="n"/>
      <c r="D307" s="13" t="n"/>
      <c r="E307" s="13" t="n"/>
      <c r="F307" s="13" t="n"/>
      <c r="G307" s="13" t="n"/>
    </row>
    <row r="308">
      <c r="A308" s="15" t="n"/>
      <c r="B308" s="15" t="n"/>
      <c r="C308" s="15" t="n"/>
      <c r="D308" s="15" t="n"/>
      <c r="E308" s="15" t="n"/>
      <c r="F308" s="15" t="n"/>
      <c r="G308" s="15" t="n"/>
    </row>
    <row r="309">
      <c r="A309" s="13" t="n"/>
      <c r="B309" s="13" t="n"/>
      <c r="C309" s="13" t="n"/>
      <c r="D309" s="13" t="n"/>
      <c r="E309" s="13" t="n"/>
      <c r="F309" s="13" t="n"/>
      <c r="G309" s="13" t="n"/>
    </row>
    <row r="310">
      <c r="A310" s="15" t="n"/>
      <c r="B310" s="15" t="n"/>
      <c r="C310" s="15" t="n"/>
      <c r="D310" s="15" t="n"/>
      <c r="E310" s="15" t="n"/>
      <c r="F310" s="15" t="n"/>
      <c r="G310" s="15" t="n"/>
    </row>
    <row r="311">
      <c r="A311" s="13" t="n"/>
      <c r="B311" s="13" t="n"/>
      <c r="C311" s="13" t="n"/>
      <c r="D311" s="13" t="n"/>
      <c r="E311" s="13" t="n"/>
      <c r="F311" s="13" t="n"/>
      <c r="G311" s="13" t="n"/>
    </row>
    <row r="312">
      <c r="A312" s="15" t="n"/>
      <c r="B312" s="15" t="n"/>
      <c r="C312" s="15" t="n"/>
      <c r="D312" s="15" t="n"/>
      <c r="E312" s="15" t="n"/>
      <c r="F312" s="15" t="n"/>
      <c r="G312" s="15" t="n"/>
    </row>
    <row r="313">
      <c r="A313" s="13" t="n"/>
      <c r="B313" s="13" t="n"/>
      <c r="C313" s="13" t="n"/>
      <c r="D313" s="13" t="n"/>
      <c r="E313" s="13" t="n"/>
      <c r="F313" s="13" t="n"/>
      <c r="G313" s="13" t="n"/>
    </row>
    <row r="314">
      <c r="A314" s="15" t="n"/>
      <c r="B314" s="15" t="n"/>
      <c r="C314" s="15" t="n"/>
      <c r="D314" s="15" t="n"/>
      <c r="E314" s="15" t="n"/>
      <c r="F314" s="15" t="n"/>
      <c r="G314" s="15" t="n"/>
    </row>
    <row r="315">
      <c r="A315" s="13" t="n"/>
      <c r="B315" s="13" t="n"/>
      <c r="C315" s="13" t="n"/>
      <c r="D315" s="13" t="n"/>
      <c r="E315" s="13" t="n"/>
      <c r="F315" s="13" t="n"/>
      <c r="G315" s="13" t="n"/>
    </row>
    <row r="316">
      <c r="A316" s="15" t="n"/>
      <c r="B316" s="15" t="n"/>
      <c r="C316" s="15" t="n"/>
      <c r="D316" s="15" t="n"/>
      <c r="E316" s="15" t="n"/>
      <c r="F316" s="15" t="n"/>
      <c r="G316" s="15" t="n"/>
    </row>
    <row r="317">
      <c r="A317" s="13" t="n"/>
      <c r="B317" s="13" t="n"/>
      <c r="C317" s="13" t="n"/>
      <c r="D317" s="13" t="n"/>
      <c r="E317" s="13" t="n"/>
      <c r="F317" s="13" t="n"/>
      <c r="G317" s="13" t="n"/>
    </row>
    <row r="318">
      <c r="A318" s="15" t="n"/>
      <c r="B318" s="15" t="n"/>
      <c r="C318" s="15" t="n"/>
      <c r="D318" s="15" t="n"/>
      <c r="E318" s="15" t="n"/>
      <c r="F318" s="15" t="n"/>
      <c r="G318" s="15" t="n"/>
    </row>
    <row r="319">
      <c r="A319" s="13" t="n"/>
      <c r="B319" s="13" t="n"/>
      <c r="C319" s="13" t="n"/>
      <c r="D319" s="13" t="n"/>
      <c r="E319" s="13" t="n"/>
      <c r="F319" s="13" t="n"/>
      <c r="G319" s="13" t="n"/>
    </row>
    <row r="320">
      <c r="A320" s="15" t="n"/>
      <c r="B320" s="15" t="n"/>
      <c r="C320" s="15" t="n"/>
      <c r="D320" s="15" t="n"/>
      <c r="E320" s="15" t="n"/>
      <c r="F320" s="15" t="n"/>
      <c r="G320" s="15" t="n"/>
    </row>
    <row r="321">
      <c r="A321" s="13" t="n"/>
      <c r="B321" s="13" t="n"/>
      <c r="C321" s="13" t="n"/>
      <c r="D321" s="13" t="n"/>
      <c r="E321" s="13" t="n"/>
      <c r="F321" s="13" t="n"/>
      <c r="G321" s="13" t="n"/>
    </row>
    <row r="322">
      <c r="A322" s="15" t="n"/>
      <c r="B322" s="15" t="n"/>
      <c r="C322" s="15" t="n"/>
      <c r="D322" s="15" t="n"/>
      <c r="E322" s="15" t="n"/>
      <c r="F322" s="15" t="n"/>
      <c r="G322" s="15" t="n"/>
    </row>
    <row r="323">
      <c r="A323" s="13" t="n"/>
      <c r="B323" s="13" t="n"/>
      <c r="C323" s="13" t="n"/>
      <c r="D323" s="13" t="n"/>
      <c r="E323" s="13" t="n"/>
      <c r="F323" s="13" t="n"/>
      <c r="G323" s="13" t="n"/>
    </row>
    <row r="324">
      <c r="A324" s="15" t="n"/>
      <c r="B324" s="15" t="n"/>
      <c r="C324" s="15" t="n"/>
      <c r="D324" s="15" t="n"/>
      <c r="E324" s="15" t="n"/>
      <c r="F324" s="15" t="n"/>
      <c r="G324" s="15" t="n"/>
    </row>
    <row r="325">
      <c r="A325" s="13" t="n"/>
      <c r="B325" s="13" t="n"/>
      <c r="C325" s="13" t="n"/>
      <c r="D325" s="13" t="n"/>
      <c r="E325" s="13" t="n"/>
      <c r="F325" s="13" t="n"/>
      <c r="G325" s="13" t="n"/>
    </row>
    <row r="326">
      <c r="A326" s="15" t="n"/>
      <c r="B326" s="15" t="n"/>
      <c r="C326" s="15" t="n"/>
      <c r="D326" s="15" t="n"/>
      <c r="E326" s="15" t="n"/>
      <c r="F326" s="15" t="n"/>
      <c r="G326" s="15" t="n"/>
    </row>
    <row r="327">
      <c r="A327" s="13" t="n"/>
      <c r="B327" s="13" t="n"/>
      <c r="C327" s="13" t="n"/>
      <c r="D327" s="13" t="n"/>
      <c r="E327" s="13" t="n"/>
      <c r="F327" s="13" t="n"/>
      <c r="G327" s="13" t="n"/>
    </row>
    <row r="328">
      <c r="A328" s="15" t="n"/>
      <c r="B328" s="15" t="n"/>
      <c r="C328" s="15" t="n"/>
      <c r="D328" s="15" t="n"/>
      <c r="E328" s="15" t="n"/>
      <c r="F328" s="15" t="n"/>
      <c r="G328" s="15" t="n"/>
    </row>
    <row r="329">
      <c r="A329" s="13" t="n"/>
      <c r="B329" s="13" t="n"/>
      <c r="C329" s="13" t="n"/>
      <c r="D329" s="13" t="n"/>
      <c r="E329" s="13" t="n"/>
      <c r="F329" s="13" t="n"/>
      <c r="G329" s="13" t="n"/>
    </row>
    <row r="330">
      <c r="A330" s="15" t="n"/>
      <c r="B330" s="15" t="n"/>
      <c r="C330" s="15" t="n"/>
      <c r="D330" s="15" t="n"/>
      <c r="E330" s="15" t="n"/>
      <c r="F330" s="15" t="n"/>
      <c r="G330" s="15" t="n"/>
    </row>
    <row r="331">
      <c r="A331" s="13" t="n"/>
      <c r="B331" s="13" t="n"/>
      <c r="C331" s="13" t="n"/>
      <c r="D331" s="13" t="n"/>
      <c r="E331" s="13" t="n"/>
      <c r="F331" s="13" t="n"/>
      <c r="G331" s="13" t="n"/>
    </row>
    <row r="332">
      <c r="A332" s="15" t="n"/>
      <c r="B332" s="15" t="n"/>
      <c r="C332" s="15" t="n"/>
      <c r="D332" s="15" t="n"/>
      <c r="E332" s="15" t="n"/>
      <c r="F332" s="15" t="n"/>
      <c r="G332" s="15" t="n"/>
    </row>
    <row r="333">
      <c r="A333" s="13" t="n"/>
      <c r="B333" s="13" t="n"/>
      <c r="C333" s="13" t="n"/>
      <c r="D333" s="13" t="n"/>
      <c r="E333" s="13" t="n"/>
      <c r="F333" s="13" t="n"/>
      <c r="G333" s="13" t="n"/>
    </row>
    <row r="334">
      <c r="A334" s="15" t="n"/>
      <c r="B334" s="15" t="n"/>
      <c r="C334" s="15" t="n"/>
      <c r="D334" s="15" t="n"/>
      <c r="E334" s="15" t="n"/>
      <c r="F334" s="15" t="n"/>
      <c r="G334" s="15" t="n"/>
    </row>
    <row r="335">
      <c r="A335" s="13" t="n"/>
      <c r="B335" s="13" t="n"/>
      <c r="C335" s="13" t="n"/>
      <c r="D335" s="13" t="n"/>
      <c r="E335" s="13" t="n"/>
      <c r="F335" s="13" t="n"/>
      <c r="G335" s="13" t="n"/>
    </row>
    <row r="336">
      <c r="A336" s="15" t="n"/>
      <c r="B336" s="15" t="n"/>
      <c r="C336" s="15" t="n"/>
      <c r="D336" s="15" t="n"/>
      <c r="E336" s="15" t="n"/>
      <c r="F336" s="15" t="n"/>
      <c r="G336" s="15" t="n"/>
    </row>
    <row r="337">
      <c r="A337" s="13" t="n"/>
      <c r="B337" s="13" t="n"/>
      <c r="C337" s="13" t="n"/>
      <c r="D337" s="13" t="n"/>
      <c r="E337" s="13" t="n"/>
      <c r="F337" s="13" t="n"/>
      <c r="G337" s="13" t="n"/>
    </row>
    <row r="338">
      <c r="A338" s="15" t="n"/>
      <c r="B338" s="15" t="n"/>
      <c r="C338" s="15" t="n"/>
      <c r="D338" s="15" t="n"/>
      <c r="E338" s="15" t="n"/>
      <c r="F338" s="15" t="n"/>
      <c r="G338" s="15" t="n"/>
    </row>
    <row r="339">
      <c r="A339" s="13" t="n"/>
      <c r="B339" s="13" t="n"/>
      <c r="C339" s="13" t="n"/>
      <c r="D339" s="13" t="n"/>
      <c r="E339" s="13" t="n"/>
      <c r="F339" s="13" t="n"/>
      <c r="G339" s="13" t="n"/>
    </row>
    <row r="340">
      <c r="A340" s="15" t="n"/>
      <c r="B340" s="15" t="n"/>
      <c r="C340" s="15" t="n"/>
      <c r="D340" s="15" t="n"/>
      <c r="E340" s="15" t="n"/>
      <c r="F340" s="15" t="n"/>
      <c r="G340" s="15" t="n"/>
    </row>
    <row r="341">
      <c r="A341" s="13" t="n"/>
      <c r="B341" s="13" t="n"/>
      <c r="C341" s="13" t="n"/>
      <c r="D341" s="13" t="n"/>
      <c r="E341" s="13" t="n"/>
      <c r="F341" s="13" t="n"/>
      <c r="G341" s="13" t="n"/>
    </row>
    <row r="342">
      <c r="A342" s="15" t="n"/>
      <c r="B342" s="15" t="n"/>
      <c r="C342" s="15" t="n"/>
      <c r="D342" s="15" t="n"/>
      <c r="E342" s="15" t="n"/>
      <c r="F342" s="15" t="n"/>
      <c r="G342" s="15" t="n"/>
    </row>
    <row r="343">
      <c r="A343" s="13" t="n"/>
      <c r="B343" s="13" t="n"/>
      <c r="C343" s="13" t="n"/>
      <c r="D343" s="13" t="n"/>
      <c r="E343" s="13" t="n"/>
      <c r="F343" s="13" t="n"/>
      <c r="G343" s="13" t="n"/>
    </row>
    <row r="344">
      <c r="A344" s="15" t="n"/>
      <c r="B344" s="15" t="n"/>
      <c r="C344" s="15" t="n"/>
      <c r="D344" s="15" t="n"/>
      <c r="E344" s="15" t="n"/>
      <c r="F344" s="15" t="n"/>
      <c r="G344" s="15" t="n"/>
    </row>
    <row r="345">
      <c r="A345" s="13" t="n"/>
      <c r="B345" s="13" t="n"/>
      <c r="C345" s="13" t="n"/>
      <c r="D345" s="13" t="n"/>
      <c r="E345" s="13" t="n"/>
      <c r="F345" s="13" t="n"/>
      <c r="G345" s="13" t="n"/>
    </row>
    <row r="346">
      <c r="A346" s="15" t="n"/>
      <c r="B346" s="15" t="n"/>
      <c r="C346" s="15" t="n"/>
      <c r="D346" s="15" t="n"/>
      <c r="E346" s="15" t="n"/>
      <c r="F346" s="15" t="n"/>
      <c r="G346" s="15" t="n"/>
    </row>
    <row r="347">
      <c r="A347" s="13" t="n"/>
      <c r="B347" s="13" t="n"/>
      <c r="C347" s="13" t="n"/>
      <c r="D347" s="13" t="n"/>
      <c r="E347" s="13" t="n"/>
      <c r="F347" s="13" t="n"/>
      <c r="G347" s="13" t="n"/>
    </row>
    <row r="348">
      <c r="A348" s="15" t="n"/>
      <c r="B348" s="15" t="n"/>
      <c r="C348" s="15" t="n"/>
      <c r="D348" s="15" t="n"/>
      <c r="E348" s="15" t="n"/>
      <c r="F348" s="15" t="n"/>
      <c r="G348" s="15" t="n"/>
    </row>
    <row r="349">
      <c r="A349" s="13" t="n"/>
      <c r="B349" s="13" t="n"/>
      <c r="C349" s="13" t="n"/>
      <c r="D349" s="13" t="n"/>
      <c r="E349" s="13" t="n"/>
      <c r="F349" s="13" t="n"/>
      <c r="G349" s="13" t="n"/>
    </row>
    <row r="350">
      <c r="A350" s="15" t="n"/>
      <c r="B350" s="15" t="n"/>
      <c r="C350" s="15" t="n"/>
      <c r="D350" s="15" t="n"/>
      <c r="E350" s="15" t="n"/>
      <c r="F350" s="15" t="n"/>
      <c r="G350" s="15" t="n"/>
    </row>
    <row r="351">
      <c r="A351" s="13" t="n"/>
      <c r="B351" s="13" t="n"/>
      <c r="C351" s="13" t="n"/>
      <c r="D351" s="13" t="n"/>
      <c r="E351" s="13" t="n"/>
      <c r="F351" s="13" t="n"/>
      <c r="G351" s="13" t="n"/>
    </row>
    <row r="352">
      <c r="A352" s="15" t="n"/>
      <c r="B352" s="15" t="n"/>
      <c r="C352" s="15" t="n"/>
      <c r="D352" s="15" t="n"/>
      <c r="E352" s="15" t="n"/>
      <c r="F352" s="15" t="n"/>
      <c r="G352" s="15" t="n"/>
    </row>
    <row r="353">
      <c r="A353" s="13" t="n"/>
      <c r="B353" s="13" t="n"/>
      <c r="C353" s="13" t="n"/>
      <c r="D353" s="13" t="n"/>
      <c r="E353" s="13" t="n"/>
      <c r="F353" s="13" t="n"/>
      <c r="G353" s="13" t="n"/>
    </row>
    <row r="354">
      <c r="A354" s="15" t="n"/>
      <c r="B354" s="15" t="n"/>
      <c r="C354" s="15" t="n"/>
      <c r="D354" s="15" t="n"/>
      <c r="E354" s="15" t="n"/>
      <c r="F354" s="15" t="n"/>
      <c r="G354" s="15" t="n"/>
    </row>
    <row r="355">
      <c r="A355" s="13" t="n"/>
      <c r="B355" s="13" t="n"/>
      <c r="C355" s="13" t="n"/>
      <c r="D355" s="13" t="n"/>
      <c r="E355" s="13" t="n"/>
      <c r="F355" s="13" t="n"/>
      <c r="G355" s="13" t="n"/>
    </row>
    <row r="356">
      <c r="A356" s="15" t="n"/>
      <c r="B356" s="15" t="n"/>
      <c r="C356" s="15" t="n"/>
      <c r="D356" s="15" t="n"/>
      <c r="E356" s="15" t="n"/>
      <c r="F356" s="15" t="n"/>
      <c r="G356" s="15" t="n"/>
    </row>
    <row r="357">
      <c r="A357" s="13" t="n"/>
      <c r="B357" s="13" t="n"/>
      <c r="C357" s="13" t="n"/>
      <c r="D357" s="13" t="n"/>
      <c r="E357" s="13" t="n"/>
      <c r="F357" s="13" t="n"/>
      <c r="G357" s="13" t="n"/>
    </row>
    <row r="358">
      <c r="A358" s="15" t="n"/>
      <c r="B358" s="15" t="n"/>
      <c r="C358" s="15" t="n"/>
      <c r="D358" s="15" t="n"/>
      <c r="E358" s="15" t="n"/>
      <c r="F358" s="15" t="n"/>
      <c r="G358" s="15" t="n"/>
    </row>
    <row r="359">
      <c r="A359" s="13" t="n"/>
      <c r="B359" s="13" t="n"/>
      <c r="C359" s="13" t="n"/>
      <c r="D359" s="13" t="n"/>
      <c r="E359" s="13" t="n"/>
      <c r="F359" s="13" t="n"/>
      <c r="G359" s="13" t="n"/>
    </row>
    <row r="360">
      <c r="A360" s="15" t="n"/>
      <c r="B360" s="15" t="n"/>
      <c r="C360" s="15" t="n"/>
      <c r="D360" s="15" t="n"/>
      <c r="E360" s="15" t="n"/>
      <c r="F360" s="15" t="n"/>
      <c r="G360" s="15" t="n"/>
    </row>
    <row r="361">
      <c r="A361" s="13" t="n"/>
      <c r="B361" s="13" t="n"/>
      <c r="C361" s="13" t="n"/>
      <c r="D361" s="13" t="n"/>
      <c r="E361" s="13" t="n"/>
      <c r="F361" s="13" t="n"/>
      <c r="G361" s="13" t="n"/>
    </row>
    <row r="362">
      <c r="A362" s="15" t="n"/>
      <c r="B362" s="15" t="n"/>
      <c r="C362" s="15" t="n"/>
      <c r="D362" s="15" t="n"/>
      <c r="E362" s="15" t="n"/>
      <c r="F362" s="15" t="n"/>
      <c r="G362" s="15" t="n"/>
    </row>
    <row r="363">
      <c r="A363" s="13" t="n"/>
      <c r="B363" s="13" t="n"/>
      <c r="C363" s="13" t="n"/>
      <c r="D363" s="13" t="n"/>
      <c r="E363" s="13" t="n"/>
      <c r="F363" s="13" t="n"/>
      <c r="G363" s="13" t="n"/>
    </row>
    <row r="364">
      <c r="A364" s="15" t="n"/>
      <c r="B364" s="15" t="n"/>
      <c r="C364" s="15" t="n"/>
      <c r="D364" s="15" t="n"/>
      <c r="E364" s="15" t="n"/>
      <c r="F364" s="15" t="n"/>
      <c r="G364" s="15" t="n"/>
    </row>
    <row r="365">
      <c r="A365" s="13" t="n"/>
      <c r="B365" s="13" t="n"/>
      <c r="C365" s="13" t="n"/>
      <c r="D365" s="13" t="n"/>
      <c r="E365" s="13" t="n"/>
      <c r="F365" s="13" t="n"/>
      <c r="G365" s="13" t="n"/>
    </row>
    <row r="366">
      <c r="A366" s="15" t="n"/>
      <c r="B366" s="15" t="n"/>
      <c r="C366" s="15" t="n"/>
      <c r="D366" s="15" t="n"/>
      <c r="E366" s="15" t="n"/>
      <c r="F366" s="15" t="n"/>
      <c r="G366" s="15" t="n"/>
    </row>
    <row r="367">
      <c r="A367" s="13" t="n"/>
      <c r="B367" s="13" t="n"/>
      <c r="C367" s="13" t="n"/>
      <c r="D367" s="13" t="n"/>
      <c r="E367" s="13" t="n"/>
      <c r="F367" s="13" t="n"/>
      <c r="G367" s="13" t="n"/>
    </row>
    <row r="368">
      <c r="A368" s="15" t="n"/>
      <c r="B368" s="15" t="n"/>
      <c r="C368" s="15" t="n"/>
      <c r="D368" s="15" t="n"/>
      <c r="E368" s="15" t="n"/>
      <c r="F368" s="15" t="n"/>
      <c r="G368" s="15" t="n"/>
    </row>
    <row r="369">
      <c r="A369" s="13" t="n"/>
      <c r="B369" s="13" t="n"/>
      <c r="C369" s="13" t="n"/>
      <c r="D369" s="13" t="n"/>
      <c r="E369" s="13" t="n"/>
      <c r="F369" s="13" t="n"/>
      <c r="G369" s="13" t="n"/>
    </row>
    <row r="370">
      <c r="A370" s="15" t="n"/>
      <c r="B370" s="15" t="n"/>
      <c r="C370" s="15" t="n"/>
      <c r="D370" s="15" t="n"/>
      <c r="E370" s="15" t="n"/>
      <c r="F370" s="15" t="n"/>
      <c r="G370" s="15" t="n"/>
    </row>
    <row r="371">
      <c r="A371" s="13" t="n"/>
      <c r="B371" s="13" t="n"/>
      <c r="C371" s="13" t="n"/>
      <c r="D371" s="13" t="n"/>
      <c r="E371" s="13" t="n"/>
      <c r="F371" s="13" t="n"/>
      <c r="G371" s="13" t="n"/>
    </row>
    <row r="372">
      <c r="A372" s="15" t="n"/>
      <c r="B372" s="15" t="n"/>
      <c r="C372" s="15" t="n"/>
      <c r="D372" s="15" t="n"/>
      <c r="E372" s="15" t="n"/>
      <c r="F372" s="15" t="n"/>
      <c r="G372" s="15" t="n"/>
    </row>
    <row r="373">
      <c r="A373" s="13" t="n"/>
      <c r="B373" s="13" t="n"/>
      <c r="C373" s="13" t="n"/>
      <c r="D373" s="13" t="n"/>
      <c r="E373" s="13" t="n"/>
      <c r="F373" s="13" t="n"/>
      <c r="G373" s="13" t="n"/>
    </row>
    <row r="374">
      <c r="A374" s="15" t="n"/>
      <c r="B374" s="15" t="n"/>
      <c r="C374" s="15" t="n"/>
      <c r="D374" s="15" t="n"/>
      <c r="E374" s="15" t="n"/>
      <c r="F374" s="15" t="n"/>
      <c r="G374" s="15" t="n"/>
    </row>
    <row r="375">
      <c r="A375" s="13" t="n"/>
      <c r="B375" s="13" t="n"/>
      <c r="C375" s="13" t="n"/>
      <c r="D375" s="13" t="n"/>
      <c r="E375" s="13" t="n"/>
      <c r="F375" s="13" t="n"/>
      <c r="G375" s="13" t="n"/>
    </row>
    <row r="376">
      <c r="A376" s="15" t="n"/>
      <c r="B376" s="15" t="n"/>
      <c r="C376" s="15" t="n"/>
      <c r="D376" s="15" t="n"/>
      <c r="E376" s="15" t="n"/>
      <c r="F376" s="15" t="n"/>
      <c r="G376" s="15" t="n"/>
    </row>
    <row r="377">
      <c r="A377" s="13" t="n"/>
      <c r="B377" s="13" t="n"/>
      <c r="C377" s="13" t="n"/>
      <c r="D377" s="13" t="n"/>
      <c r="E377" s="13" t="n"/>
      <c r="F377" s="13" t="n"/>
      <c r="G377" s="13" t="n"/>
    </row>
    <row r="378">
      <c r="A378" s="15" t="n"/>
      <c r="B378" s="15" t="n"/>
      <c r="C378" s="15" t="n"/>
      <c r="D378" s="15" t="n"/>
      <c r="E378" s="15" t="n"/>
      <c r="F378" s="15" t="n"/>
      <c r="G378" s="15" t="n"/>
    </row>
    <row r="379">
      <c r="A379" s="13" t="n"/>
      <c r="B379" s="13" t="n"/>
      <c r="C379" s="13" t="n"/>
      <c r="D379" s="13" t="n"/>
      <c r="E379" s="13" t="n"/>
      <c r="F379" s="13" t="n"/>
      <c r="G379" s="13" t="n"/>
    </row>
    <row r="380">
      <c r="A380" s="15" t="n"/>
      <c r="B380" s="15" t="n"/>
      <c r="C380" s="15" t="n"/>
      <c r="D380" s="15" t="n"/>
      <c r="E380" s="15" t="n"/>
      <c r="F380" s="15" t="n"/>
      <c r="G380" s="15" t="n"/>
    </row>
    <row r="381">
      <c r="A381" s="13" t="n"/>
      <c r="B381" s="13" t="n"/>
      <c r="C381" s="13" t="n"/>
      <c r="D381" s="13" t="n"/>
      <c r="E381" s="13" t="n"/>
      <c r="F381" s="13" t="n"/>
      <c r="G381" s="13" t="n"/>
    </row>
    <row r="382">
      <c r="A382" s="15" t="n"/>
      <c r="B382" s="15" t="n"/>
      <c r="C382" s="15" t="n"/>
      <c r="D382" s="15" t="n"/>
      <c r="E382" s="15" t="n"/>
      <c r="F382" s="15" t="n"/>
      <c r="G382" s="15" t="n"/>
    </row>
    <row r="383">
      <c r="A383" s="13" t="n"/>
      <c r="B383" s="13" t="n"/>
      <c r="C383" s="13" t="n"/>
      <c r="D383" s="13" t="n"/>
      <c r="E383" s="13" t="n"/>
      <c r="F383" s="13" t="n"/>
      <c r="G383" s="13" t="n"/>
    </row>
    <row r="384">
      <c r="A384" s="15" t="n"/>
      <c r="B384" s="15" t="n"/>
      <c r="C384" s="15" t="n"/>
      <c r="D384" s="15" t="n"/>
      <c r="E384" s="15" t="n"/>
      <c r="F384" s="15" t="n"/>
      <c r="G384" s="15" t="n"/>
    </row>
    <row r="385">
      <c r="A385" s="13" t="n"/>
      <c r="B385" s="13" t="n"/>
      <c r="C385" s="13" t="n"/>
      <c r="D385" s="13" t="n"/>
      <c r="E385" s="13" t="n"/>
      <c r="F385" s="13" t="n"/>
      <c r="G385" s="13" t="n"/>
    </row>
    <row r="386">
      <c r="A386" s="15" t="n"/>
      <c r="B386" s="15" t="n"/>
      <c r="C386" s="15" t="n"/>
      <c r="D386" s="15" t="n"/>
      <c r="E386" s="15" t="n"/>
      <c r="F386" s="15" t="n"/>
      <c r="G386" s="15" t="n"/>
    </row>
    <row r="387">
      <c r="A387" s="13" t="n"/>
      <c r="B387" s="13" t="n"/>
      <c r="C387" s="13" t="n"/>
      <c r="D387" s="13" t="n"/>
      <c r="E387" s="13" t="n"/>
      <c r="F387" s="13" t="n"/>
      <c r="G387" s="13" t="n"/>
    </row>
    <row r="388">
      <c r="A388" s="15" t="n"/>
      <c r="B388" s="15" t="n"/>
      <c r="C388" s="15" t="n"/>
      <c r="D388" s="15" t="n"/>
      <c r="E388" s="15" t="n"/>
      <c r="F388" s="15" t="n"/>
      <c r="G388" s="15" t="n"/>
    </row>
    <row r="389">
      <c r="A389" s="13" t="n"/>
      <c r="B389" s="13" t="n"/>
      <c r="C389" s="13" t="n"/>
      <c r="D389" s="13" t="n"/>
      <c r="E389" s="13" t="n"/>
      <c r="F389" s="13" t="n"/>
      <c r="G389" s="13" t="n"/>
    </row>
    <row r="390">
      <c r="A390" s="15" t="n"/>
      <c r="B390" s="15" t="n"/>
      <c r="C390" s="15" t="n"/>
      <c r="D390" s="15" t="n"/>
      <c r="E390" s="15" t="n"/>
      <c r="F390" s="15" t="n"/>
      <c r="G390" s="15" t="n"/>
    </row>
    <row r="391">
      <c r="A391" s="13" t="n"/>
      <c r="B391" s="13" t="n"/>
      <c r="C391" s="13" t="n"/>
      <c r="D391" s="13" t="n"/>
      <c r="E391" s="13" t="n"/>
      <c r="F391" s="13" t="n"/>
      <c r="G391" s="13" t="n"/>
    </row>
    <row r="392">
      <c r="A392" s="15" t="n"/>
      <c r="B392" s="15" t="n"/>
      <c r="C392" s="15" t="n"/>
      <c r="D392" s="15" t="n"/>
      <c r="E392" s="15" t="n"/>
      <c r="F392" s="15" t="n"/>
      <c r="G392" s="15" t="n"/>
    </row>
    <row r="393">
      <c r="A393" s="13" t="n"/>
      <c r="B393" s="13" t="n"/>
      <c r="C393" s="13" t="n"/>
      <c r="D393" s="13" t="n"/>
      <c r="E393" s="13" t="n"/>
      <c r="F393" s="13" t="n"/>
      <c r="G393" s="13" t="n"/>
    </row>
    <row r="394">
      <c r="A394" s="15" t="n"/>
      <c r="B394" s="15" t="n"/>
      <c r="C394" s="15" t="n"/>
      <c r="D394" s="15" t="n"/>
      <c r="E394" s="15" t="n"/>
      <c r="F394" s="15" t="n"/>
      <c r="G394" s="15" t="n"/>
    </row>
    <row r="395">
      <c r="A395" s="13" t="n"/>
      <c r="B395" s="13" t="n"/>
      <c r="C395" s="13" t="n"/>
      <c r="D395" s="13" t="n"/>
      <c r="E395" s="13" t="n"/>
      <c r="F395" s="13" t="n"/>
      <c r="G395" s="13" t="n"/>
    </row>
    <row r="396">
      <c r="A396" s="15" t="n"/>
      <c r="B396" s="15" t="n"/>
      <c r="C396" s="15" t="n"/>
      <c r="D396" s="15" t="n"/>
      <c r="E396" s="15" t="n"/>
      <c r="F396" s="15" t="n"/>
      <c r="G396" s="15" t="n"/>
    </row>
    <row r="397">
      <c r="A397" s="13" t="n"/>
      <c r="B397" s="13" t="n"/>
      <c r="C397" s="13" t="n"/>
      <c r="D397" s="13" t="n"/>
      <c r="E397" s="13" t="n"/>
      <c r="F397" s="13" t="n"/>
      <c r="G397" s="13" t="n"/>
    </row>
    <row r="398">
      <c r="A398" s="15" t="n"/>
      <c r="B398" s="15" t="n"/>
      <c r="C398" s="15" t="n"/>
      <c r="D398" s="15" t="n"/>
      <c r="E398" s="15" t="n"/>
      <c r="F398" s="15" t="n"/>
      <c r="G398" s="15" t="n"/>
    </row>
    <row r="399">
      <c r="A399" s="13" t="n"/>
      <c r="B399" s="13" t="n"/>
      <c r="C399" s="13" t="n"/>
      <c r="D399" s="13" t="n"/>
      <c r="E399" s="13" t="n"/>
      <c r="F399" s="13" t="n"/>
      <c r="G399" s="13" t="n"/>
    </row>
    <row r="400">
      <c r="A400" s="15" t="n"/>
      <c r="B400" s="15" t="n"/>
      <c r="C400" s="15" t="n"/>
      <c r="D400" s="15" t="n"/>
      <c r="E400" s="15" t="n"/>
      <c r="F400" s="15" t="n"/>
      <c r="G400" s="15" t="n"/>
    </row>
    <row r="401">
      <c r="A401" s="13" t="n"/>
      <c r="B401" s="13" t="n"/>
      <c r="C401" s="13" t="n"/>
      <c r="D401" s="13" t="n"/>
      <c r="E401" s="13" t="n"/>
      <c r="F401" s="13" t="n"/>
      <c r="G401" s="13" t="n"/>
    </row>
    <row r="402">
      <c r="A402" s="15" t="n"/>
      <c r="B402" s="15" t="n"/>
      <c r="C402" s="15" t="n"/>
      <c r="D402" s="15" t="n"/>
      <c r="E402" s="15" t="n"/>
      <c r="F402" s="15" t="n"/>
      <c r="G402" s="15" t="n"/>
    </row>
    <row r="403">
      <c r="A403" s="13" t="n"/>
      <c r="B403" s="13" t="n"/>
      <c r="C403" s="13" t="n"/>
      <c r="D403" s="13" t="n"/>
      <c r="E403" s="13" t="n"/>
      <c r="F403" s="13" t="n"/>
      <c r="G403" s="13" t="n"/>
    </row>
    <row r="404">
      <c r="A404" s="15" t="n"/>
      <c r="B404" s="15" t="n"/>
      <c r="C404" s="15" t="n"/>
      <c r="D404" s="15" t="n"/>
      <c r="E404" s="15" t="n"/>
      <c r="F404" s="15" t="n"/>
      <c r="G404" s="15" t="n"/>
    </row>
    <row r="405">
      <c r="A405" s="13" t="n"/>
      <c r="B405" s="13" t="n"/>
      <c r="C405" s="13" t="n"/>
      <c r="D405" s="13" t="n"/>
      <c r="E405" s="13" t="n"/>
      <c r="F405" s="13" t="n"/>
      <c r="G405" s="13" t="n"/>
    </row>
    <row r="406">
      <c r="A406" s="15" t="n"/>
      <c r="B406" s="15" t="n"/>
      <c r="C406" s="15" t="n"/>
      <c r="D406" s="15" t="n"/>
      <c r="E406" s="15" t="n"/>
      <c r="F406" s="15" t="n"/>
      <c r="G406" s="15" t="n"/>
    </row>
    <row r="407">
      <c r="A407" s="13" t="n"/>
      <c r="B407" s="13" t="n"/>
      <c r="C407" s="13" t="n"/>
      <c r="D407" s="13" t="n"/>
      <c r="E407" s="13" t="n"/>
      <c r="F407" s="13" t="n"/>
      <c r="G407" s="13" t="n"/>
    </row>
    <row r="408">
      <c r="A408" s="15" t="n"/>
      <c r="B408" s="15" t="n"/>
      <c r="C408" s="15" t="n"/>
      <c r="D408" s="15" t="n"/>
      <c r="E408" s="15" t="n"/>
      <c r="F408" s="15" t="n"/>
      <c r="G408" s="15" t="n"/>
    </row>
    <row r="409">
      <c r="A409" s="13" t="n"/>
      <c r="B409" s="13" t="n"/>
      <c r="C409" s="13" t="n"/>
      <c r="D409" s="13" t="n"/>
      <c r="E409" s="13" t="n"/>
      <c r="F409" s="13" t="n"/>
      <c r="G409" s="13" t="n"/>
    </row>
    <row r="410">
      <c r="A410" s="15" t="n"/>
      <c r="B410" s="15" t="n"/>
      <c r="C410" s="15" t="n"/>
      <c r="D410" s="15" t="n"/>
      <c r="E410" s="15" t="n"/>
      <c r="F410" s="15" t="n"/>
      <c r="G410" s="15" t="n"/>
    </row>
    <row r="411">
      <c r="A411" s="13" t="n"/>
      <c r="B411" s="13" t="n"/>
      <c r="C411" s="13" t="n"/>
      <c r="D411" s="13" t="n"/>
      <c r="E411" s="13" t="n"/>
      <c r="F411" s="13" t="n"/>
      <c r="G411" s="13" t="n"/>
    </row>
    <row r="412">
      <c r="A412" s="15" t="n"/>
      <c r="B412" s="15" t="n"/>
      <c r="C412" s="15" t="n"/>
      <c r="D412" s="15" t="n"/>
      <c r="E412" s="15" t="n"/>
      <c r="F412" s="15" t="n"/>
      <c r="G412" s="15" t="n"/>
    </row>
    <row r="413">
      <c r="A413" s="13" t="n"/>
      <c r="B413" s="13" t="n"/>
      <c r="C413" s="13" t="n"/>
      <c r="D413" s="13" t="n"/>
      <c r="E413" s="13" t="n"/>
      <c r="F413" s="13" t="n"/>
      <c r="G413" s="13" t="n"/>
    </row>
    <row r="414">
      <c r="A414" s="15" t="n"/>
      <c r="B414" s="15" t="n"/>
      <c r="C414" s="15" t="n"/>
      <c r="D414" s="15" t="n"/>
      <c r="E414" s="15" t="n"/>
      <c r="F414" s="15" t="n"/>
      <c r="G414" s="15" t="n"/>
    </row>
    <row r="415">
      <c r="A415" s="13" t="n"/>
      <c r="B415" s="13" t="n"/>
      <c r="C415" s="13" t="n"/>
      <c r="D415" s="13" t="n"/>
      <c r="E415" s="13" t="n"/>
      <c r="F415" s="13" t="n"/>
      <c r="G415" s="13" t="n"/>
    </row>
    <row r="416">
      <c r="A416" s="15" t="n"/>
      <c r="B416" s="15" t="n"/>
      <c r="C416" s="15" t="n"/>
      <c r="D416" s="15" t="n"/>
      <c r="E416" s="15" t="n"/>
      <c r="F416" s="15" t="n"/>
      <c r="G416" s="15" t="n"/>
    </row>
    <row r="417">
      <c r="A417" s="13" t="n"/>
      <c r="B417" s="13" t="n"/>
      <c r="C417" s="13" t="n"/>
      <c r="D417" s="13" t="n"/>
      <c r="E417" s="13" t="n"/>
      <c r="F417" s="13" t="n"/>
      <c r="G417" s="13" t="n"/>
    </row>
    <row r="418">
      <c r="A418" s="15" t="n"/>
      <c r="B418" s="15" t="n"/>
      <c r="C418" s="15" t="n"/>
      <c r="D418" s="15" t="n"/>
      <c r="E418" s="15" t="n"/>
      <c r="F418" s="15" t="n"/>
      <c r="G418" s="15" t="n"/>
    </row>
    <row r="419">
      <c r="A419" s="13" t="n"/>
      <c r="B419" s="13" t="n"/>
      <c r="C419" s="13" t="n"/>
      <c r="D419" s="13" t="n"/>
      <c r="E419" s="13" t="n"/>
      <c r="F419" s="13" t="n"/>
      <c r="G419" s="13" t="n"/>
    </row>
    <row r="420">
      <c r="A420" s="15" t="n"/>
      <c r="B420" s="15" t="n"/>
      <c r="C420" s="15" t="n"/>
      <c r="D420" s="15" t="n"/>
      <c r="E420" s="15" t="n"/>
      <c r="F420" s="15" t="n"/>
      <c r="G420" s="15" t="n"/>
    </row>
    <row r="421">
      <c r="A421" s="13" t="n"/>
      <c r="B421" s="13" t="n"/>
      <c r="C421" s="13" t="n"/>
      <c r="D421" s="13" t="n"/>
      <c r="E421" s="13" t="n"/>
      <c r="F421" s="13" t="n"/>
      <c r="G421" s="13" t="n"/>
    </row>
    <row r="422">
      <c r="A422" s="15" t="n"/>
      <c r="B422" s="15" t="n"/>
      <c r="C422" s="15" t="n"/>
      <c r="D422" s="15" t="n"/>
      <c r="E422" s="15" t="n"/>
      <c r="F422" s="15" t="n"/>
      <c r="G422" s="15" t="n"/>
    </row>
    <row r="423">
      <c r="A423" s="13" t="n"/>
      <c r="B423" s="13" t="n"/>
      <c r="C423" s="13" t="n"/>
      <c r="D423" s="13" t="n"/>
      <c r="E423" s="13" t="n"/>
      <c r="F423" s="13" t="n"/>
      <c r="G423" s="13" t="n"/>
    </row>
    <row r="424">
      <c r="A424" s="15" t="n"/>
      <c r="B424" s="15" t="n"/>
      <c r="C424" s="15" t="n"/>
      <c r="D424" s="15" t="n"/>
      <c r="E424" s="15" t="n"/>
      <c r="F424" s="15" t="n"/>
      <c r="G424" s="15" t="n"/>
    </row>
    <row r="425">
      <c r="A425" s="13" t="n"/>
      <c r="B425" s="13" t="n"/>
      <c r="C425" s="13" t="n"/>
      <c r="D425" s="13" t="n"/>
      <c r="E425" s="13" t="n"/>
      <c r="F425" s="13" t="n"/>
      <c r="G425" s="13" t="n"/>
    </row>
    <row r="426">
      <c r="A426" s="15" t="n"/>
      <c r="B426" s="15" t="n"/>
      <c r="C426" s="15" t="n"/>
      <c r="D426" s="15" t="n"/>
      <c r="E426" s="15" t="n"/>
      <c r="F426" s="15" t="n"/>
      <c r="G426" s="15" t="n"/>
    </row>
    <row r="427">
      <c r="A427" s="13" t="n"/>
      <c r="B427" s="13" t="n"/>
      <c r="C427" s="13" t="n"/>
      <c r="D427" s="13" t="n"/>
      <c r="E427" s="13" t="n"/>
      <c r="F427" s="13" t="n"/>
      <c r="G427" s="13" t="n"/>
    </row>
    <row r="428">
      <c r="A428" s="15" t="n"/>
      <c r="B428" s="15" t="n"/>
      <c r="C428" s="15" t="n"/>
      <c r="D428" s="15" t="n"/>
      <c r="E428" s="15" t="n"/>
      <c r="F428" s="15" t="n"/>
      <c r="G428" s="15" t="n"/>
    </row>
    <row r="429">
      <c r="A429" s="13" t="n"/>
      <c r="B429" s="13" t="n"/>
      <c r="C429" s="13" t="n"/>
      <c r="D429" s="13" t="n"/>
      <c r="E429" s="13" t="n"/>
      <c r="F429" s="13" t="n"/>
      <c r="G429" s="13" t="n"/>
    </row>
    <row r="430">
      <c r="A430" s="15" t="n"/>
      <c r="B430" s="15" t="n"/>
      <c r="C430" s="15" t="n"/>
      <c r="D430" s="15" t="n"/>
      <c r="E430" s="15" t="n"/>
      <c r="F430" s="15" t="n"/>
      <c r="G430" s="15" t="n"/>
    </row>
    <row r="431">
      <c r="A431" s="13" t="n"/>
      <c r="B431" s="13" t="n"/>
      <c r="C431" s="13" t="n"/>
      <c r="D431" s="13" t="n"/>
      <c r="E431" s="13" t="n"/>
      <c r="F431" s="13" t="n"/>
      <c r="G431" s="13" t="n"/>
    </row>
    <row r="432">
      <c r="A432" s="15" t="n"/>
      <c r="B432" s="15" t="n"/>
      <c r="C432" s="15" t="n"/>
      <c r="D432" s="15" t="n"/>
      <c r="E432" s="15" t="n"/>
      <c r="F432" s="15" t="n"/>
      <c r="G432" s="15" t="n"/>
    </row>
    <row r="433">
      <c r="A433" s="13" t="n"/>
      <c r="B433" s="13" t="n"/>
      <c r="C433" s="13" t="n"/>
      <c r="D433" s="13" t="n"/>
      <c r="E433" s="13" t="n"/>
      <c r="F433" s="13" t="n"/>
      <c r="G433" s="13" t="n"/>
    </row>
    <row r="434">
      <c r="A434" s="15" t="n"/>
      <c r="B434" s="15" t="n"/>
      <c r="C434" s="15" t="n"/>
      <c r="D434" s="15" t="n"/>
      <c r="E434" s="15" t="n"/>
      <c r="F434" s="15" t="n"/>
      <c r="G434" s="15" t="n"/>
    </row>
    <row r="435">
      <c r="A435" s="13" t="n"/>
      <c r="B435" s="13" t="n"/>
      <c r="C435" s="13" t="n"/>
      <c r="D435" s="13" t="n"/>
      <c r="E435" s="13" t="n"/>
      <c r="F435" s="13" t="n"/>
      <c r="G435" s="13" t="n"/>
    </row>
    <row r="436">
      <c r="A436" s="15" t="n"/>
      <c r="B436" s="15" t="n"/>
      <c r="C436" s="15" t="n"/>
      <c r="D436" s="15" t="n"/>
      <c r="E436" s="15" t="n"/>
      <c r="F436" s="15" t="n"/>
      <c r="G436" s="15" t="n"/>
    </row>
    <row r="437">
      <c r="A437" s="13" t="n"/>
      <c r="B437" s="13" t="n"/>
      <c r="C437" s="13" t="n"/>
      <c r="D437" s="13" t="n"/>
      <c r="E437" s="13" t="n"/>
      <c r="F437" s="13" t="n"/>
      <c r="G437" s="13" t="n"/>
    </row>
    <row r="438">
      <c r="A438" s="15" t="n"/>
      <c r="B438" s="15" t="n"/>
      <c r="C438" s="15" t="n"/>
      <c r="D438" s="15" t="n"/>
      <c r="E438" s="15" t="n"/>
      <c r="F438" s="15" t="n"/>
      <c r="G438" s="15" t="n"/>
    </row>
    <row r="439">
      <c r="A439" s="13" t="n"/>
      <c r="B439" s="13" t="n"/>
      <c r="C439" s="13" t="n"/>
      <c r="D439" s="13" t="n"/>
      <c r="E439" s="13" t="n"/>
      <c r="F439" s="13" t="n"/>
      <c r="G439" s="13" t="n"/>
    </row>
    <row r="440">
      <c r="A440" s="15" t="n"/>
      <c r="B440" s="15" t="n"/>
      <c r="C440" s="15" t="n"/>
      <c r="D440" s="15" t="n"/>
      <c r="E440" s="15" t="n"/>
      <c r="F440" s="15" t="n"/>
      <c r="G440" s="15" t="n"/>
    </row>
    <row r="441">
      <c r="A441" s="13" t="n"/>
      <c r="B441" s="13" t="n"/>
      <c r="C441" s="13" t="n"/>
      <c r="D441" s="13" t="n"/>
      <c r="E441" s="13" t="n"/>
      <c r="F441" s="13" t="n"/>
      <c r="G441" s="13" t="n"/>
    </row>
    <row r="442">
      <c r="A442" s="15" t="n"/>
      <c r="B442" s="15" t="n"/>
      <c r="C442" s="15" t="n"/>
      <c r="D442" s="15" t="n"/>
      <c r="E442" s="15" t="n"/>
      <c r="F442" s="15" t="n"/>
      <c r="G442" s="15" t="n"/>
    </row>
    <row r="443">
      <c r="A443" s="13" t="n"/>
      <c r="B443" s="13" t="n"/>
      <c r="C443" s="13" t="n"/>
      <c r="D443" s="13" t="n"/>
      <c r="E443" s="13" t="n"/>
      <c r="F443" s="13" t="n"/>
      <c r="G443" s="13" t="n"/>
    </row>
    <row r="444">
      <c r="A444" s="15" t="n"/>
      <c r="B444" s="15" t="n"/>
      <c r="C444" s="15" t="n"/>
      <c r="D444" s="15" t="n"/>
      <c r="E444" s="15" t="n"/>
      <c r="F444" s="15" t="n"/>
      <c r="G444" s="15" t="n"/>
    </row>
    <row r="445">
      <c r="A445" s="13" t="n"/>
      <c r="B445" s="13" t="n"/>
      <c r="C445" s="13" t="n"/>
      <c r="D445" s="13" t="n"/>
      <c r="E445" s="13" t="n"/>
      <c r="F445" s="13" t="n"/>
      <c r="G445" s="13" t="n"/>
    </row>
    <row r="446">
      <c r="A446" s="15" t="n"/>
      <c r="B446" s="15" t="n"/>
      <c r="C446" s="15" t="n"/>
      <c r="D446" s="15" t="n"/>
      <c r="E446" s="15" t="n"/>
      <c r="F446" s="15" t="n"/>
      <c r="G446" s="15" t="n"/>
    </row>
    <row r="447">
      <c r="A447" s="13" t="n"/>
      <c r="B447" s="13" t="n"/>
      <c r="C447" s="13" t="n"/>
      <c r="D447" s="13" t="n"/>
      <c r="E447" s="13" t="n"/>
      <c r="F447" s="13" t="n"/>
      <c r="G447" s="13" t="n"/>
    </row>
    <row r="448">
      <c r="A448" s="15" t="n"/>
      <c r="B448" s="15" t="n"/>
      <c r="C448" s="15" t="n"/>
      <c r="D448" s="15" t="n"/>
      <c r="E448" s="15" t="n"/>
      <c r="F448" s="15" t="n"/>
      <c r="G448" s="15" t="n"/>
    </row>
    <row r="449">
      <c r="A449" s="13" t="n"/>
      <c r="B449" s="13" t="n"/>
      <c r="C449" s="13" t="n"/>
      <c r="D449" s="13" t="n"/>
      <c r="E449" s="13" t="n"/>
      <c r="F449" s="13" t="n"/>
      <c r="G449" s="13" t="n"/>
    </row>
    <row r="450">
      <c r="A450" s="15" t="n"/>
      <c r="B450" s="15" t="n"/>
      <c r="C450" s="15" t="n"/>
      <c r="D450" s="15" t="n"/>
      <c r="E450" s="15" t="n"/>
      <c r="F450" s="15" t="n"/>
      <c r="G450" s="15" t="n"/>
    </row>
    <row r="451">
      <c r="A451" s="13" t="n"/>
      <c r="B451" s="13" t="n"/>
      <c r="C451" s="13" t="n"/>
      <c r="D451" s="13" t="n"/>
      <c r="E451" s="13" t="n"/>
      <c r="F451" s="13" t="n"/>
      <c r="G451" s="13" t="n"/>
    </row>
    <row r="452">
      <c r="A452" s="15" t="n"/>
      <c r="B452" s="15" t="n"/>
      <c r="C452" s="15" t="n"/>
      <c r="D452" s="15" t="n"/>
      <c r="E452" s="15" t="n"/>
      <c r="F452" s="15" t="n"/>
      <c r="G452" s="15" t="n"/>
    </row>
    <row r="453">
      <c r="A453" s="13" t="n"/>
      <c r="B453" s="13" t="n"/>
      <c r="C453" s="13" t="n"/>
      <c r="D453" s="13" t="n"/>
      <c r="E453" s="13" t="n"/>
      <c r="F453" s="13" t="n"/>
      <c r="G453" s="13" t="n"/>
    </row>
    <row r="454">
      <c r="A454" s="15" t="n"/>
      <c r="B454" s="15" t="n"/>
      <c r="C454" s="15" t="n"/>
      <c r="D454" s="15" t="n"/>
      <c r="E454" s="15" t="n"/>
      <c r="F454" s="15" t="n"/>
      <c r="G454" s="15" t="n"/>
    </row>
    <row r="455">
      <c r="A455" s="13" t="n"/>
      <c r="B455" s="13" t="n"/>
      <c r="C455" s="13" t="n"/>
      <c r="D455" s="13" t="n"/>
      <c r="E455" s="13" t="n"/>
      <c r="F455" s="13" t="n"/>
      <c r="G455" s="13" t="n"/>
    </row>
    <row r="456">
      <c r="A456" s="15" t="n"/>
      <c r="B456" s="15" t="n"/>
      <c r="C456" s="15" t="n"/>
      <c r="D456" s="15" t="n"/>
      <c r="E456" s="15" t="n"/>
      <c r="F456" s="15" t="n"/>
      <c r="G456" s="15" t="n"/>
    </row>
    <row r="457">
      <c r="A457" s="13" t="n"/>
      <c r="B457" s="13" t="n"/>
      <c r="C457" s="13" t="n"/>
      <c r="D457" s="13" t="n"/>
      <c r="E457" s="13" t="n"/>
      <c r="F457" s="13" t="n"/>
      <c r="G457" s="13" t="n"/>
    </row>
    <row r="458">
      <c r="A458" s="15" t="n"/>
      <c r="B458" s="15" t="n"/>
      <c r="C458" s="15" t="n"/>
      <c r="D458" s="15" t="n"/>
      <c r="E458" s="15" t="n"/>
      <c r="F458" s="15" t="n"/>
      <c r="G458" s="15" t="n"/>
    </row>
    <row r="459">
      <c r="A459" s="13" t="n"/>
      <c r="B459" s="13" t="n"/>
      <c r="C459" s="13" t="n"/>
      <c r="D459" s="13" t="n"/>
      <c r="E459" s="13" t="n"/>
      <c r="F459" s="13" t="n"/>
      <c r="G459" s="13" t="n"/>
    </row>
    <row r="460">
      <c r="A460" s="15" t="n"/>
      <c r="B460" s="15" t="n"/>
      <c r="C460" s="15" t="n"/>
      <c r="D460" s="15" t="n"/>
      <c r="E460" s="15" t="n"/>
      <c r="F460" s="15" t="n"/>
      <c r="G460" s="15" t="n"/>
    </row>
    <row r="461">
      <c r="A461" s="13" t="n"/>
      <c r="B461" s="13" t="n"/>
      <c r="C461" s="13" t="n"/>
      <c r="D461" s="13" t="n"/>
      <c r="E461" s="13" t="n"/>
      <c r="F461" s="13" t="n"/>
      <c r="G461" s="13" t="n"/>
    </row>
    <row r="462">
      <c r="A462" s="15" t="n"/>
      <c r="B462" s="15" t="n"/>
      <c r="C462" s="15" t="n"/>
      <c r="D462" s="15" t="n"/>
      <c r="E462" s="15" t="n"/>
      <c r="F462" s="15" t="n"/>
      <c r="G462" s="15" t="n"/>
    </row>
    <row r="463">
      <c r="A463" s="13" t="n"/>
      <c r="B463" s="13" t="n"/>
      <c r="C463" s="13" t="n"/>
      <c r="D463" s="13" t="n"/>
      <c r="E463" s="13" t="n"/>
      <c r="F463" s="13" t="n"/>
      <c r="G463" s="13" t="n"/>
    </row>
    <row r="464">
      <c r="A464" s="15" t="n"/>
      <c r="B464" s="15" t="n"/>
      <c r="C464" s="15" t="n"/>
      <c r="D464" s="15" t="n"/>
      <c r="E464" s="15" t="n"/>
      <c r="F464" s="15" t="n"/>
      <c r="G464" s="15" t="n"/>
    </row>
    <row r="465">
      <c r="A465" s="13" t="n"/>
      <c r="B465" s="13" t="n"/>
      <c r="C465" s="13" t="n"/>
      <c r="D465" s="13" t="n"/>
      <c r="E465" s="13" t="n"/>
      <c r="F465" s="13" t="n"/>
      <c r="G465" s="13" t="n"/>
    </row>
    <row r="466">
      <c r="A466" s="15" t="n"/>
      <c r="B466" s="15" t="n"/>
      <c r="C466" s="15" t="n"/>
      <c r="D466" s="15" t="n"/>
      <c r="E466" s="15" t="n"/>
      <c r="F466" s="15" t="n"/>
      <c r="G466" s="15" t="n"/>
    </row>
    <row r="467">
      <c r="A467" s="13" t="n"/>
      <c r="B467" s="13" t="n"/>
      <c r="C467" s="13" t="n"/>
      <c r="D467" s="13" t="n"/>
      <c r="E467" s="13" t="n"/>
      <c r="F467" s="13" t="n"/>
      <c r="G467" s="13" t="n"/>
    </row>
    <row r="468">
      <c r="A468" s="15" t="n"/>
      <c r="B468" s="15" t="n"/>
      <c r="C468" s="15" t="n"/>
      <c r="D468" s="15" t="n"/>
      <c r="E468" s="15" t="n"/>
      <c r="F468" s="15" t="n"/>
      <c r="G468" s="15" t="n"/>
    </row>
    <row r="469">
      <c r="A469" s="13" t="n"/>
      <c r="B469" s="13" t="n"/>
      <c r="C469" s="13" t="n"/>
      <c r="D469" s="13" t="n"/>
      <c r="E469" s="13" t="n"/>
      <c r="F469" s="13" t="n"/>
      <c r="G469" s="13" t="n"/>
    </row>
    <row r="470">
      <c r="A470" s="15" t="n"/>
      <c r="B470" s="15" t="n"/>
      <c r="C470" s="15" t="n"/>
      <c r="D470" s="15" t="n"/>
      <c r="E470" s="15" t="n"/>
      <c r="F470" s="15" t="n"/>
      <c r="G470" s="15" t="n"/>
    </row>
    <row r="471">
      <c r="A471" s="13" t="n"/>
      <c r="B471" s="13" t="n"/>
      <c r="C471" s="13" t="n"/>
      <c r="D471" s="13" t="n"/>
      <c r="E471" s="13" t="n"/>
      <c r="F471" s="13" t="n"/>
      <c r="G471" s="13" t="n"/>
    </row>
    <row r="472">
      <c r="A472" s="15" t="n"/>
      <c r="B472" s="15" t="n"/>
      <c r="C472" s="15" t="n"/>
      <c r="D472" s="15" t="n"/>
      <c r="E472" s="15" t="n"/>
      <c r="F472" s="15" t="n"/>
      <c r="G472" s="15" t="n"/>
    </row>
    <row r="473">
      <c r="A473" s="13" t="n"/>
      <c r="B473" s="13" t="n"/>
      <c r="C473" s="13" t="n"/>
      <c r="D473" s="13" t="n"/>
      <c r="E473" s="13" t="n"/>
      <c r="F473" s="13" t="n"/>
      <c r="G473" s="13" t="n"/>
    </row>
    <row r="474">
      <c r="A474" s="15" t="n"/>
      <c r="B474" s="15" t="n"/>
      <c r="C474" s="15" t="n"/>
      <c r="D474" s="15" t="n"/>
      <c r="E474" s="15" t="n"/>
      <c r="F474" s="15" t="n"/>
      <c r="G474" s="15" t="n"/>
    </row>
    <row r="475">
      <c r="A475" s="13" t="n"/>
      <c r="B475" s="13" t="n"/>
      <c r="C475" s="13" t="n"/>
      <c r="D475" s="13" t="n"/>
      <c r="E475" s="13" t="n"/>
      <c r="F475" s="13" t="n"/>
      <c r="G475" s="13" t="n"/>
    </row>
    <row r="476">
      <c r="A476" s="15" t="n"/>
      <c r="B476" s="15" t="n"/>
      <c r="C476" s="15" t="n"/>
      <c r="D476" s="15" t="n"/>
      <c r="E476" s="15" t="n"/>
      <c r="F476" s="15" t="n"/>
      <c r="G476" s="15" t="n"/>
    </row>
    <row r="477">
      <c r="A477" s="13" t="n"/>
      <c r="B477" s="13" t="n"/>
      <c r="C477" s="13" t="n"/>
      <c r="D477" s="13" t="n"/>
      <c r="E477" s="13" t="n"/>
      <c r="F477" s="13" t="n"/>
      <c r="G477" s="13" t="n"/>
    </row>
    <row r="478">
      <c r="A478" s="15" t="n"/>
      <c r="B478" s="15" t="n"/>
      <c r="C478" s="15" t="n"/>
      <c r="D478" s="15" t="n"/>
      <c r="E478" s="15" t="n"/>
      <c r="F478" s="15" t="n"/>
      <c r="G478" s="15" t="n"/>
    </row>
    <row r="479">
      <c r="A479" s="13" t="n"/>
      <c r="B479" s="13" t="n"/>
      <c r="C479" s="13" t="n"/>
      <c r="D479" s="13" t="n"/>
      <c r="E479" s="13" t="n"/>
      <c r="F479" s="13" t="n"/>
      <c r="G479" s="13" t="n"/>
    </row>
    <row r="480">
      <c r="A480" s="15" t="n"/>
      <c r="B480" s="15" t="n"/>
      <c r="C480" s="15" t="n"/>
      <c r="D480" s="15" t="n"/>
      <c r="E480" s="15" t="n"/>
      <c r="F480" s="15" t="n"/>
      <c r="G480" s="15" t="n"/>
    </row>
    <row r="481">
      <c r="A481" s="13" t="n"/>
      <c r="B481" s="13" t="n"/>
      <c r="C481" s="13" t="n"/>
      <c r="D481" s="13" t="n"/>
      <c r="E481" s="13" t="n"/>
      <c r="F481" s="13" t="n"/>
      <c r="G481" s="13" t="n"/>
    </row>
    <row r="482">
      <c r="A482" s="15" t="n"/>
      <c r="B482" s="15" t="n"/>
      <c r="C482" s="15" t="n"/>
      <c r="D482" s="15" t="n"/>
      <c r="E482" s="15" t="n"/>
      <c r="F482" s="15" t="n"/>
      <c r="G482" s="15" t="n"/>
    </row>
    <row r="483">
      <c r="A483" s="13" t="n"/>
      <c r="B483" s="13" t="n"/>
      <c r="C483" s="13" t="n"/>
      <c r="D483" s="13" t="n"/>
      <c r="E483" s="13" t="n"/>
      <c r="F483" s="13" t="n"/>
      <c r="G483" s="13" t="n"/>
    </row>
    <row r="484">
      <c r="A484" s="15" t="n"/>
      <c r="B484" s="15" t="n"/>
      <c r="C484" s="15" t="n"/>
      <c r="D484" s="15" t="n"/>
      <c r="E484" s="15" t="n"/>
      <c r="F484" s="15" t="n"/>
      <c r="G484" s="15" t="n"/>
    </row>
    <row r="485">
      <c r="A485" s="13" t="n"/>
      <c r="B485" s="13" t="n"/>
      <c r="C485" s="13" t="n"/>
      <c r="D485" s="13" t="n"/>
      <c r="E485" s="13" t="n"/>
      <c r="F485" s="13" t="n"/>
      <c r="G485" s="13" t="n"/>
    </row>
    <row r="486">
      <c r="A486" s="15" t="n"/>
      <c r="B486" s="15" t="n"/>
      <c r="C486" s="15" t="n"/>
      <c r="D486" s="15" t="n"/>
      <c r="E486" s="15" t="n"/>
      <c r="F486" s="15" t="n"/>
      <c r="G486" s="15" t="n"/>
    </row>
    <row r="487">
      <c r="A487" s="13" t="n"/>
      <c r="B487" s="13" t="n"/>
      <c r="C487" s="13" t="n"/>
      <c r="D487" s="13" t="n"/>
      <c r="E487" s="13" t="n"/>
      <c r="F487" s="13" t="n"/>
      <c r="G487" s="13" t="n"/>
    </row>
    <row r="488">
      <c r="A488" s="15" t="n"/>
      <c r="B488" s="15" t="n"/>
      <c r="C488" s="15" t="n"/>
      <c r="D488" s="15" t="n"/>
      <c r="E488" s="15" t="n"/>
      <c r="F488" s="15" t="n"/>
      <c r="G488" s="15" t="n"/>
    </row>
    <row r="489">
      <c r="A489" s="13" t="n"/>
      <c r="B489" s="13" t="n"/>
      <c r="C489" s="13" t="n"/>
      <c r="D489" s="13" t="n"/>
      <c r="E489" s="13" t="n"/>
      <c r="F489" s="13" t="n"/>
      <c r="G489" s="13" t="n"/>
    </row>
    <row r="490">
      <c r="A490" s="15" t="n"/>
      <c r="B490" s="15" t="n"/>
      <c r="C490" s="15" t="n"/>
      <c r="D490" s="15" t="n"/>
      <c r="E490" s="15" t="n"/>
      <c r="F490" s="15" t="n"/>
      <c r="G490" s="15" t="n"/>
    </row>
    <row r="491">
      <c r="A491" s="13" t="n"/>
      <c r="B491" s="13" t="n"/>
      <c r="C491" s="13" t="n"/>
      <c r="D491" s="13" t="n"/>
      <c r="E491" s="13" t="n"/>
      <c r="F491" s="13" t="n"/>
      <c r="G491" s="13" t="n"/>
    </row>
    <row r="492">
      <c r="A492" s="15" t="n"/>
      <c r="B492" s="15" t="n"/>
      <c r="C492" s="15" t="n"/>
      <c r="D492" s="15" t="n"/>
      <c r="E492" s="15" t="n"/>
      <c r="F492" s="15" t="n"/>
      <c r="G492" s="15" t="n"/>
    </row>
    <row r="493">
      <c r="A493" s="13" t="n"/>
      <c r="B493" s="13" t="n"/>
      <c r="C493" s="13" t="n"/>
      <c r="D493" s="13" t="n"/>
      <c r="E493" s="13" t="n"/>
      <c r="F493" s="13" t="n"/>
      <c r="G493" s="13" t="n"/>
    </row>
    <row r="494">
      <c r="A494" s="15" t="n"/>
      <c r="B494" s="15" t="n"/>
      <c r="C494" s="15" t="n"/>
      <c r="D494" s="15" t="n"/>
      <c r="E494" s="15" t="n"/>
      <c r="F494" s="15" t="n"/>
      <c r="G494" s="15" t="n"/>
    </row>
    <row r="495">
      <c r="A495" s="13" t="n"/>
      <c r="B495" s="13" t="n"/>
      <c r="C495" s="13" t="n"/>
      <c r="D495" s="13" t="n"/>
      <c r="E495" s="13" t="n"/>
      <c r="F495" s="13" t="n"/>
      <c r="G495" s="13" t="n"/>
    </row>
    <row r="496">
      <c r="A496" s="15" t="n"/>
      <c r="B496" s="15" t="n"/>
      <c r="C496" s="15" t="n"/>
      <c r="D496" s="15" t="n"/>
      <c r="E496" s="15" t="n"/>
      <c r="F496" s="15" t="n"/>
      <c r="G496" s="15" t="n"/>
    </row>
    <row r="497">
      <c r="A497" s="13" t="n"/>
      <c r="B497" s="13" t="n"/>
      <c r="C497" s="13" t="n"/>
      <c r="D497" s="13" t="n"/>
      <c r="E497" s="13" t="n"/>
      <c r="F497" s="13" t="n"/>
      <c r="G497" s="13" t="n"/>
    </row>
    <row r="498">
      <c r="A498" s="15" t="n"/>
      <c r="B498" s="15" t="n"/>
      <c r="C498" s="15" t="n"/>
      <c r="D498" s="15" t="n"/>
      <c r="E498" s="15" t="n"/>
      <c r="F498" s="15" t="n"/>
      <c r="G498" s="15" t="n"/>
    </row>
    <row r="499">
      <c r="A499" s="13" t="n"/>
      <c r="B499" s="13" t="n"/>
      <c r="C499" s="13" t="n"/>
      <c r="D499" s="13" t="n"/>
      <c r="E499" s="13" t="n"/>
      <c r="F499" s="13" t="n"/>
      <c r="G499" s="13" t="n"/>
    </row>
    <row r="500">
      <c r="A500" s="15" t="n"/>
      <c r="B500" s="15" t="n"/>
      <c r="C500" s="15" t="n"/>
      <c r="D500" s="15" t="n"/>
      <c r="E500" s="15" t="n"/>
      <c r="F500" s="15" t="n"/>
      <c r="G500" s="15" t="n"/>
    </row>
    <row r="501">
      <c r="A501" s="13" t="n"/>
      <c r="B501" s="13" t="n"/>
      <c r="C501" s="13" t="n"/>
      <c r="D501" s="13" t="n"/>
      <c r="E501" s="13" t="n"/>
      <c r="F501" s="13" t="n"/>
      <c r="G501" s="13" t="n"/>
    </row>
    <row r="502">
      <c r="A502" s="15" t="n"/>
      <c r="B502" s="15" t="n"/>
      <c r="C502" s="15" t="n"/>
      <c r="D502" s="15" t="n"/>
      <c r="E502" s="15" t="n"/>
      <c r="F502" s="15" t="n"/>
      <c r="G502" s="15" t="n"/>
    </row>
    <row r="503">
      <c r="A503" s="13" t="n"/>
      <c r="B503" s="13" t="n"/>
      <c r="C503" s="13" t="n"/>
      <c r="D503" s="13" t="n"/>
      <c r="E503" s="13" t="n"/>
      <c r="F503" s="13" t="n"/>
      <c r="G503" s="13" t="n"/>
    </row>
    <row r="504">
      <c r="A504" s="15" t="n"/>
      <c r="B504" s="15" t="n"/>
      <c r="C504" s="15" t="n"/>
      <c r="D504" s="15" t="n"/>
      <c r="E504" s="15" t="n"/>
      <c r="F504" s="15" t="n"/>
      <c r="G504" s="15" t="n"/>
    </row>
  </sheetData>
  <mergeCells count="2">
    <mergeCell ref="A2:G2"/>
    <mergeCell ref="A1:G1"/>
  </mergeCells>
  <dataValidations count="1">
    <dataValidation sqref="E5:E504" showDropDown="0" showInputMessage="0" showErrorMessage="0" allowBlank="1" type="list">
      <formula1>"PRODUZINDO,SETUP,PARADA,OCIOSO,AUSENTE"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tabSelected="1" workbookViewId="0">
      <pane ySplit="4" topLeftCell="A5" activePane="bottomLeft" state="frozen"/>
      <selection pane="bottomLeft" activeCell="C16" sqref="C16"/>
    </sheetView>
  </sheetViews>
  <sheetFormatPr baseColWidth="8" defaultRowHeight="14.4"/>
  <cols>
    <col width="14" customWidth="1" style="27" min="1" max="1"/>
    <col width="30" customWidth="1" style="27" min="2" max="2"/>
    <col width="14" customWidth="1" style="27" min="3" max="3"/>
    <col width="13" customWidth="1" style="27" min="4" max="4"/>
    <col width="14" customWidth="1" style="27" min="5" max="5"/>
    <col width="12" customWidth="1" style="27" min="6" max="6"/>
    <col width="14" customWidth="1" style="27" min="7" max="7"/>
    <col width="12" customWidth="1" style="27" min="8" max="9"/>
    <col width="30" customWidth="1" style="27" min="10" max="10"/>
  </cols>
  <sheetData>
    <row r="1" ht="21" customHeight="1" s="27">
      <c r="A1" s="45" t="inlineStr">
        <is>
          <t>TEMPOS-PADRÃO OFICIAIS</t>
        </is>
      </c>
    </row>
    <row r="2">
      <c r="A2" s="39" t="inlineStr">
        <is>
          <t>TP Crono × Tempo Apontado → Fator de Apontamento (FA)</t>
        </is>
      </c>
    </row>
    <row r="4" ht="28.05" customHeight="1" s="27">
      <c r="A4" s="14" t="inlineStr">
        <is>
          <t>COD_PECA</t>
        </is>
      </c>
      <c r="B4" s="14" t="inlineStr">
        <is>
          <t>DESCRIÇÃO</t>
        </is>
      </c>
      <c r="C4" s="14" t="inlineStr">
        <is>
          <t>MÁQUINA</t>
        </is>
      </c>
      <c r="D4" s="14" t="inlineStr">
        <is>
          <t>TP_CRONO_MIN</t>
        </is>
      </c>
      <c r="E4" s="14" t="inlineStr">
        <is>
          <t>T_MED_APONT_MIN</t>
        </is>
      </c>
      <c r="F4" s="14" t="inlineStr">
        <is>
          <t>FA</t>
        </is>
      </c>
      <c r="G4" s="14" t="inlineStr">
        <is>
          <t>TP_OFICIAL_MIN</t>
        </is>
      </c>
      <c r="H4" s="14" t="inlineStr">
        <is>
          <t>SETUP_MIN</t>
        </is>
      </c>
      <c r="I4" s="14" t="inlineStr">
        <is>
          <t>PCS/HORA</t>
        </is>
      </c>
      <c r="J4" s="14" t="inlineStr">
        <is>
          <t>OBS</t>
        </is>
      </c>
    </row>
    <row r="5">
      <c r="A5" s="13" t="n"/>
      <c r="B5" s="13" t="n"/>
      <c r="C5" s="13" t="n"/>
      <c r="D5" s="13" t="n"/>
      <c r="E5" s="13" t="n"/>
      <c r="F5" s="24">
        <f>IFERROR(E5/D5,"")</f>
        <v/>
      </c>
      <c r="G5" s="13" t="n"/>
      <c r="H5" s="13" t="n"/>
      <c r="I5" s="13">
        <f>IFERROR(60/G5,"")</f>
        <v/>
      </c>
      <c r="J5" s="13" t="n"/>
    </row>
    <row r="6">
      <c r="A6" s="15" t="n"/>
      <c r="B6" s="15" t="n"/>
      <c r="C6" s="15" t="n"/>
      <c r="D6" s="15" t="n"/>
      <c r="E6" s="15" t="n"/>
      <c r="F6" s="25">
        <f>IFERROR(E6/D6,"")</f>
        <v/>
      </c>
      <c r="G6" s="15" t="n"/>
      <c r="H6" s="15" t="n"/>
      <c r="I6" s="15">
        <f>IFERROR(60/G6,"")</f>
        <v/>
      </c>
      <c r="J6" s="15" t="n"/>
    </row>
    <row r="7">
      <c r="A7" s="13" t="n"/>
      <c r="B7" s="13" t="n"/>
      <c r="C7" s="13" t="n"/>
      <c r="D7" s="13" t="n"/>
      <c r="E7" s="13" t="n"/>
      <c r="F7" s="24">
        <f>IFERROR(E7/D7,"")</f>
        <v/>
      </c>
      <c r="G7" s="13" t="n"/>
      <c r="H7" s="13" t="n"/>
      <c r="I7" s="13">
        <f>IFERROR(60/G7,"")</f>
        <v/>
      </c>
      <c r="J7" s="13" t="n"/>
    </row>
    <row r="8">
      <c r="A8" s="15" t="n"/>
      <c r="B8" s="15" t="n"/>
      <c r="C8" s="15" t="n"/>
      <c r="D8" s="15" t="n"/>
      <c r="E8" s="15" t="n"/>
      <c r="F8" s="25">
        <f>IFERROR(E8/D8,"")</f>
        <v/>
      </c>
      <c r="G8" s="15" t="n"/>
      <c r="H8" s="15" t="n"/>
      <c r="I8" s="15">
        <f>IFERROR(60/G8,"")</f>
        <v/>
      </c>
      <c r="J8" s="15" t="n"/>
    </row>
    <row r="9">
      <c r="A9" s="13" t="n"/>
      <c r="B9" s="13" t="n"/>
      <c r="C9" s="13" t="n"/>
      <c r="D9" s="13" t="n"/>
      <c r="E9" s="13" t="n"/>
      <c r="F9" s="24">
        <f>IFERROR(E9/D9,"")</f>
        <v/>
      </c>
      <c r="G9" s="13" t="n"/>
      <c r="H9" s="13" t="n"/>
      <c r="I9" s="13">
        <f>IFERROR(60/G9,"")</f>
        <v/>
      </c>
      <c r="J9" s="13" t="n"/>
    </row>
    <row r="10">
      <c r="A10" s="15" t="n"/>
      <c r="B10" s="15" t="n"/>
      <c r="C10" s="15" t="n"/>
      <c r="D10" s="15" t="n"/>
      <c r="E10" s="15" t="n"/>
      <c r="F10" s="25">
        <f>IFERROR(E10/D10,"")</f>
        <v/>
      </c>
      <c r="G10" s="15" t="n"/>
      <c r="H10" s="15" t="n"/>
      <c r="I10" s="15">
        <f>IFERROR(60/G10,"")</f>
        <v/>
      </c>
      <c r="J10" s="15" t="n"/>
    </row>
    <row r="11">
      <c r="A11" s="13" t="n"/>
      <c r="B11" s="13" t="n"/>
      <c r="C11" s="13" t="n"/>
      <c r="D11" s="13" t="n"/>
      <c r="E11" s="13" t="n"/>
      <c r="F11" s="24">
        <f>IFERROR(E11/D11,"")</f>
        <v/>
      </c>
      <c r="G11" s="13" t="n"/>
      <c r="H11" s="13" t="n"/>
      <c r="I11" s="13">
        <f>IFERROR(60/G11,"")</f>
        <v/>
      </c>
      <c r="J11" s="13" t="n"/>
    </row>
    <row r="12">
      <c r="A12" s="15" t="n"/>
      <c r="B12" s="15" t="n"/>
      <c r="C12" s="15" t="n"/>
      <c r="D12" s="15" t="n"/>
      <c r="E12" s="15" t="n"/>
      <c r="F12" s="25">
        <f>IFERROR(E12/D12,"")</f>
        <v/>
      </c>
      <c r="G12" s="15" t="n"/>
      <c r="H12" s="15" t="n"/>
      <c r="I12" s="15">
        <f>IFERROR(60/G12,"")</f>
        <v/>
      </c>
      <c r="J12" s="15" t="n"/>
    </row>
    <row r="13">
      <c r="A13" s="13" t="n"/>
      <c r="B13" s="13" t="n"/>
      <c r="C13" s="13" t="n"/>
      <c r="D13" s="13" t="n"/>
      <c r="E13" s="13" t="n"/>
      <c r="F13" s="24">
        <f>IFERROR(E13/D13,"")</f>
        <v/>
      </c>
      <c r="G13" s="13" t="n"/>
      <c r="H13" s="13" t="n"/>
      <c r="I13" s="13">
        <f>IFERROR(60/G13,"")</f>
        <v/>
      </c>
      <c r="J13" s="13" t="n"/>
    </row>
    <row r="14">
      <c r="A14" s="15" t="n"/>
      <c r="B14" s="15" t="n"/>
      <c r="C14" s="15" t="n"/>
      <c r="D14" s="15" t="n"/>
      <c r="E14" s="15" t="n"/>
      <c r="F14" s="25">
        <f>IFERROR(E14/D14,"")</f>
        <v/>
      </c>
      <c r="G14" s="15" t="n"/>
      <c r="H14" s="15" t="n"/>
      <c r="I14" s="15">
        <f>IFERROR(60/G14,"")</f>
        <v/>
      </c>
      <c r="J14" s="15" t="n"/>
    </row>
    <row r="15">
      <c r="A15" s="13" t="n"/>
      <c r="B15" s="13" t="n"/>
      <c r="C15" s="13" t="n"/>
      <c r="D15" s="13" t="n"/>
      <c r="E15" s="13" t="n"/>
      <c r="F15" s="24">
        <f>IFERROR(E15/D15,"")</f>
        <v/>
      </c>
      <c r="G15" s="13" t="n"/>
      <c r="H15" s="13" t="n"/>
      <c r="I15" s="13">
        <f>IFERROR(60/G15,"")</f>
        <v/>
      </c>
      <c r="J15" s="13" t="n"/>
    </row>
    <row r="16">
      <c r="A16" s="15" t="n"/>
      <c r="B16" s="15" t="n"/>
      <c r="C16" s="15" t="n"/>
      <c r="D16" s="15" t="n"/>
      <c r="E16" s="15" t="n"/>
      <c r="F16" s="25">
        <f>IFERROR(E16/D16,"")</f>
        <v/>
      </c>
      <c r="G16" s="15" t="n"/>
      <c r="H16" s="15" t="n"/>
      <c r="I16" s="15">
        <f>IFERROR(60/G16,"")</f>
        <v/>
      </c>
      <c r="J16" s="15" t="n"/>
    </row>
    <row r="17">
      <c r="A17" s="13" t="n"/>
      <c r="B17" s="13" t="n"/>
      <c r="C17" s="13" t="n"/>
      <c r="D17" s="13" t="n"/>
      <c r="E17" s="13" t="n"/>
      <c r="F17" s="24">
        <f>IFERROR(E17/D17,"")</f>
        <v/>
      </c>
      <c r="G17" s="13" t="n"/>
      <c r="H17" s="13" t="n"/>
      <c r="I17" s="13">
        <f>IFERROR(60/G17,"")</f>
        <v/>
      </c>
      <c r="J17" s="13" t="n"/>
    </row>
    <row r="18">
      <c r="A18" s="15" t="n"/>
      <c r="B18" s="15" t="n"/>
      <c r="C18" s="15" t="n"/>
      <c r="D18" s="15" t="n"/>
      <c r="E18" s="15" t="n"/>
      <c r="F18" s="25">
        <f>IFERROR(E18/D18,"")</f>
        <v/>
      </c>
      <c r="G18" s="15" t="n"/>
      <c r="H18" s="15" t="n"/>
      <c r="I18" s="15">
        <f>IFERROR(60/G18,"")</f>
        <v/>
      </c>
      <c r="J18" s="15" t="n"/>
    </row>
    <row r="19">
      <c r="A19" s="13" t="n"/>
      <c r="B19" s="13" t="n"/>
      <c r="C19" s="13" t="n"/>
      <c r="D19" s="13" t="n"/>
      <c r="E19" s="13" t="n"/>
      <c r="F19" s="24">
        <f>IFERROR(E19/D19,"")</f>
        <v/>
      </c>
      <c r="G19" s="13" t="n"/>
      <c r="H19" s="13" t="n"/>
      <c r="I19" s="13">
        <f>IFERROR(60/G19,"")</f>
        <v/>
      </c>
      <c r="J19" s="13" t="n"/>
    </row>
    <row r="20">
      <c r="A20" s="15" t="n"/>
      <c r="B20" s="15" t="n"/>
      <c r="C20" s="15" t="n"/>
      <c r="D20" s="15" t="n"/>
      <c r="E20" s="15" t="n"/>
      <c r="F20" s="25">
        <f>IFERROR(E20/D20,"")</f>
        <v/>
      </c>
      <c r="G20" s="15" t="n"/>
      <c r="H20" s="15" t="n"/>
      <c r="I20" s="15">
        <f>IFERROR(60/G20,"")</f>
        <v/>
      </c>
      <c r="J20" s="15" t="n"/>
    </row>
    <row r="21">
      <c r="A21" s="13" t="n"/>
      <c r="B21" s="13" t="n"/>
      <c r="C21" s="13" t="n"/>
      <c r="D21" s="13" t="n"/>
      <c r="E21" s="13" t="n"/>
      <c r="F21" s="24">
        <f>IFERROR(E21/D21,"")</f>
        <v/>
      </c>
      <c r="G21" s="13" t="n"/>
      <c r="H21" s="13" t="n"/>
      <c r="I21" s="13">
        <f>IFERROR(60/G21,"")</f>
        <v/>
      </c>
      <c r="J21" s="13" t="n"/>
    </row>
    <row r="22">
      <c r="A22" s="15" t="n"/>
      <c r="B22" s="15" t="n"/>
      <c r="C22" s="15" t="n"/>
      <c r="D22" s="15" t="n"/>
      <c r="E22" s="15" t="n"/>
      <c r="F22" s="25">
        <f>IFERROR(E22/D22,"")</f>
        <v/>
      </c>
      <c r="G22" s="15" t="n"/>
      <c r="H22" s="15" t="n"/>
      <c r="I22" s="15">
        <f>IFERROR(60/G22,"")</f>
        <v/>
      </c>
      <c r="J22" s="15" t="n"/>
    </row>
    <row r="23">
      <c r="A23" s="13" t="n"/>
      <c r="B23" s="13" t="n"/>
      <c r="C23" s="13" t="n"/>
      <c r="D23" s="13" t="n"/>
      <c r="E23" s="13" t="n"/>
      <c r="F23" s="24">
        <f>IFERROR(E23/D23,"")</f>
        <v/>
      </c>
      <c r="G23" s="13" t="n"/>
      <c r="H23" s="13" t="n"/>
      <c r="I23" s="13">
        <f>IFERROR(60/G23,"")</f>
        <v/>
      </c>
      <c r="J23" s="13" t="n"/>
    </row>
    <row r="24">
      <c r="A24" s="15" t="n"/>
      <c r="B24" s="15" t="n"/>
      <c r="C24" s="15" t="n"/>
      <c r="D24" s="15" t="n"/>
      <c r="E24" s="15" t="n"/>
      <c r="F24" s="25">
        <f>IFERROR(E24/D24,"")</f>
        <v/>
      </c>
      <c r="G24" s="15" t="n"/>
      <c r="H24" s="15" t="n"/>
      <c r="I24" s="15">
        <f>IFERROR(60/G24,"")</f>
        <v/>
      </c>
      <c r="J24" s="15" t="n"/>
    </row>
    <row r="25">
      <c r="A25" s="13" t="n"/>
      <c r="B25" s="13" t="n"/>
      <c r="C25" s="13" t="n"/>
      <c r="D25" s="13" t="n"/>
      <c r="E25" s="13" t="n"/>
      <c r="F25" s="24">
        <f>IFERROR(E25/D25,"")</f>
        <v/>
      </c>
      <c r="G25" s="13" t="n"/>
      <c r="H25" s="13" t="n"/>
      <c r="I25" s="13">
        <f>IFERROR(60/G25,"")</f>
        <v/>
      </c>
      <c r="J25" s="13" t="n"/>
    </row>
    <row r="26">
      <c r="A26" s="15" t="n"/>
      <c r="B26" s="15" t="n"/>
      <c r="C26" s="15" t="n"/>
      <c r="D26" s="15" t="n"/>
      <c r="E26" s="15" t="n"/>
      <c r="F26" s="25">
        <f>IFERROR(E26/D26,"")</f>
        <v/>
      </c>
      <c r="G26" s="15" t="n"/>
      <c r="H26" s="15" t="n"/>
      <c r="I26" s="15">
        <f>IFERROR(60/G26,"")</f>
        <v/>
      </c>
      <c r="J26" s="15" t="n"/>
    </row>
    <row r="27">
      <c r="A27" s="13" t="n"/>
      <c r="B27" s="13" t="n"/>
      <c r="C27" s="13" t="n"/>
      <c r="D27" s="13" t="n"/>
      <c r="E27" s="13" t="n"/>
      <c r="F27" s="24">
        <f>IFERROR(E27/D27,"")</f>
        <v/>
      </c>
      <c r="G27" s="13" t="n"/>
      <c r="H27" s="13" t="n"/>
      <c r="I27" s="13">
        <f>IFERROR(60/G27,"")</f>
        <v/>
      </c>
      <c r="J27" s="13" t="n"/>
    </row>
    <row r="28">
      <c r="A28" s="15" t="n"/>
      <c r="B28" s="15" t="n"/>
      <c r="C28" s="15" t="n"/>
      <c r="D28" s="15" t="n"/>
      <c r="E28" s="15" t="n"/>
      <c r="F28" s="25">
        <f>IFERROR(E28/D28,"")</f>
        <v/>
      </c>
      <c r="G28" s="15" t="n"/>
      <c r="H28" s="15" t="n"/>
      <c r="I28" s="15">
        <f>IFERROR(60/G28,"")</f>
        <v/>
      </c>
      <c r="J28" s="15" t="n"/>
    </row>
    <row r="29">
      <c r="A29" s="13" t="n"/>
      <c r="B29" s="13" t="n"/>
      <c r="C29" s="13" t="n"/>
      <c r="D29" s="13" t="n"/>
      <c r="E29" s="13" t="n"/>
      <c r="F29" s="24">
        <f>IFERROR(E29/D29,"")</f>
        <v/>
      </c>
      <c r="G29" s="13" t="n"/>
      <c r="H29" s="13" t="n"/>
      <c r="I29" s="13">
        <f>IFERROR(60/G29,"")</f>
        <v/>
      </c>
      <c r="J29" s="13" t="n"/>
    </row>
    <row r="30">
      <c r="A30" s="15" t="n"/>
      <c r="B30" s="15" t="n"/>
      <c r="C30" s="15" t="n"/>
      <c r="D30" s="15" t="n"/>
      <c r="E30" s="15" t="n"/>
      <c r="F30" s="25">
        <f>IFERROR(E30/D30,"")</f>
        <v/>
      </c>
      <c r="G30" s="15" t="n"/>
      <c r="H30" s="15" t="n"/>
      <c r="I30" s="15">
        <f>IFERROR(60/G30,"")</f>
        <v/>
      </c>
      <c r="J30" s="15" t="n"/>
    </row>
    <row r="31">
      <c r="A31" s="13" t="n"/>
      <c r="B31" s="13" t="n"/>
      <c r="C31" s="13" t="n"/>
      <c r="D31" s="13" t="n"/>
      <c r="E31" s="13" t="n"/>
      <c r="F31" s="24">
        <f>IFERROR(E31/D31,"")</f>
        <v/>
      </c>
      <c r="G31" s="13" t="n"/>
      <c r="H31" s="13" t="n"/>
      <c r="I31" s="13">
        <f>IFERROR(60/G31,"")</f>
        <v/>
      </c>
      <c r="J31" s="13" t="n"/>
    </row>
    <row r="32">
      <c r="A32" s="15" t="n"/>
      <c r="B32" s="15" t="n"/>
      <c r="C32" s="15" t="n"/>
      <c r="D32" s="15" t="n"/>
      <c r="E32" s="15" t="n"/>
      <c r="F32" s="25">
        <f>IFERROR(E32/D32,"")</f>
        <v/>
      </c>
      <c r="G32" s="15" t="n"/>
      <c r="H32" s="15" t="n"/>
      <c r="I32" s="15">
        <f>IFERROR(60/G32,"")</f>
        <v/>
      </c>
      <c r="J32" s="15" t="n"/>
    </row>
    <row r="33">
      <c r="A33" s="13" t="n"/>
      <c r="B33" s="13" t="n"/>
      <c r="C33" s="13" t="n"/>
      <c r="D33" s="13" t="n"/>
      <c r="E33" s="13" t="n"/>
      <c r="F33" s="24">
        <f>IFERROR(E33/D33,"")</f>
        <v/>
      </c>
      <c r="G33" s="13" t="n"/>
      <c r="H33" s="13" t="n"/>
      <c r="I33" s="13">
        <f>IFERROR(60/G33,"")</f>
        <v/>
      </c>
      <c r="J33" s="13" t="n"/>
    </row>
    <row r="34">
      <c r="A34" s="15" t="n"/>
      <c r="B34" s="15" t="n"/>
      <c r="C34" s="15" t="n"/>
      <c r="D34" s="15" t="n"/>
      <c r="E34" s="15" t="n"/>
      <c r="F34" s="25">
        <f>IFERROR(E34/D34,"")</f>
        <v/>
      </c>
      <c r="G34" s="15" t="n"/>
      <c r="H34" s="15" t="n"/>
      <c r="I34" s="15">
        <f>IFERROR(60/G34,"")</f>
        <v/>
      </c>
      <c r="J34" s="15" t="n"/>
    </row>
    <row r="35">
      <c r="A35" s="13" t="n"/>
      <c r="B35" s="13" t="n"/>
      <c r="C35" s="13" t="n"/>
      <c r="D35" s="13" t="n"/>
      <c r="E35" s="13" t="n"/>
      <c r="F35" s="24">
        <f>IFERROR(E35/D35,"")</f>
        <v/>
      </c>
      <c r="G35" s="13" t="n"/>
      <c r="H35" s="13" t="n"/>
      <c r="I35" s="13">
        <f>IFERROR(60/G35,"")</f>
        <v/>
      </c>
      <c r="J35" s="13" t="n"/>
    </row>
    <row r="36">
      <c r="A36" s="15" t="n"/>
      <c r="B36" s="15" t="n"/>
      <c r="C36" s="15" t="n"/>
      <c r="D36" s="15" t="n"/>
      <c r="E36" s="15" t="n"/>
      <c r="F36" s="25">
        <f>IFERROR(E36/D36,"")</f>
        <v/>
      </c>
      <c r="G36" s="15" t="n"/>
      <c r="H36" s="15" t="n"/>
      <c r="I36" s="15">
        <f>IFERROR(60/G36,"")</f>
        <v/>
      </c>
      <c r="J36" s="15" t="n"/>
    </row>
    <row r="37">
      <c r="A37" s="13" t="n"/>
      <c r="B37" s="13" t="n"/>
      <c r="C37" s="13" t="n"/>
      <c r="D37" s="13" t="n"/>
      <c r="E37" s="13" t="n"/>
      <c r="F37" s="24">
        <f>IFERROR(E37/D37,"")</f>
        <v/>
      </c>
      <c r="G37" s="13" t="n"/>
      <c r="H37" s="13" t="n"/>
      <c r="I37" s="13">
        <f>IFERROR(60/G37,"")</f>
        <v/>
      </c>
      <c r="J37" s="13" t="n"/>
    </row>
    <row r="38">
      <c r="A38" s="15" t="n"/>
      <c r="B38" s="15" t="n"/>
      <c r="C38" s="15" t="n"/>
      <c r="D38" s="15" t="n"/>
      <c r="E38" s="15" t="n"/>
      <c r="F38" s="25">
        <f>IFERROR(E38/D38,"")</f>
        <v/>
      </c>
      <c r="G38" s="15" t="n"/>
      <c r="H38" s="15" t="n"/>
      <c r="I38" s="15">
        <f>IFERROR(60/G38,"")</f>
        <v/>
      </c>
      <c r="J38" s="15" t="n"/>
    </row>
    <row r="39">
      <c r="A39" s="13" t="n"/>
      <c r="B39" s="13" t="n"/>
      <c r="C39" s="13" t="n"/>
      <c r="D39" s="13" t="n"/>
      <c r="E39" s="13" t="n"/>
      <c r="F39" s="24">
        <f>IFERROR(E39/D39,"")</f>
        <v/>
      </c>
      <c r="G39" s="13" t="n"/>
      <c r="H39" s="13" t="n"/>
      <c r="I39" s="13">
        <f>IFERROR(60/G39,"")</f>
        <v/>
      </c>
      <c r="J39" s="13" t="n"/>
    </row>
    <row r="40">
      <c r="A40" s="15" t="n"/>
      <c r="B40" s="15" t="n"/>
      <c r="C40" s="15" t="n"/>
      <c r="D40" s="15" t="n"/>
      <c r="E40" s="15" t="n"/>
      <c r="F40" s="25">
        <f>IFERROR(E40/D40,"")</f>
        <v/>
      </c>
      <c r="G40" s="15" t="n"/>
      <c r="H40" s="15" t="n"/>
      <c r="I40" s="15">
        <f>IFERROR(60/G40,"")</f>
        <v/>
      </c>
      <c r="J40" s="15" t="n"/>
    </row>
    <row r="41">
      <c r="A41" s="13" t="n"/>
      <c r="B41" s="13" t="n"/>
      <c r="C41" s="13" t="n"/>
      <c r="D41" s="13" t="n"/>
      <c r="E41" s="13" t="n"/>
      <c r="F41" s="24">
        <f>IFERROR(E41/D41,"")</f>
        <v/>
      </c>
      <c r="G41" s="13" t="n"/>
      <c r="H41" s="13" t="n"/>
      <c r="I41" s="13">
        <f>IFERROR(60/G41,"")</f>
        <v/>
      </c>
      <c r="J41" s="13" t="n"/>
    </row>
    <row r="42">
      <c r="A42" s="15" t="n"/>
      <c r="B42" s="15" t="n"/>
      <c r="C42" s="15" t="n"/>
      <c r="D42" s="15" t="n"/>
      <c r="E42" s="15" t="n"/>
      <c r="F42" s="25">
        <f>IFERROR(E42/D42,"")</f>
        <v/>
      </c>
      <c r="G42" s="15" t="n"/>
      <c r="H42" s="15" t="n"/>
      <c r="I42" s="15">
        <f>IFERROR(60/G42,"")</f>
        <v/>
      </c>
      <c r="J42" s="15" t="n"/>
    </row>
    <row r="43">
      <c r="A43" s="13" t="n"/>
      <c r="B43" s="13" t="n"/>
      <c r="C43" s="13" t="n"/>
      <c r="D43" s="13" t="n"/>
      <c r="E43" s="13" t="n"/>
      <c r="F43" s="24">
        <f>IFERROR(E43/D43,"")</f>
        <v/>
      </c>
      <c r="G43" s="13" t="n"/>
      <c r="H43" s="13" t="n"/>
      <c r="I43" s="13">
        <f>IFERROR(60/G43,"")</f>
        <v/>
      </c>
      <c r="J43" s="13" t="n"/>
    </row>
    <row r="44">
      <c r="A44" s="15" t="n"/>
      <c r="B44" s="15" t="n"/>
      <c r="C44" s="15" t="n"/>
      <c r="D44" s="15" t="n"/>
      <c r="E44" s="15" t="n"/>
      <c r="F44" s="25">
        <f>IFERROR(E44/D44,"")</f>
        <v/>
      </c>
      <c r="G44" s="15" t="n"/>
      <c r="H44" s="15" t="n"/>
      <c r="I44" s="15">
        <f>IFERROR(60/G44,"")</f>
        <v/>
      </c>
      <c r="J44" s="15" t="n"/>
    </row>
    <row r="45">
      <c r="A45" s="13" t="n"/>
      <c r="B45" s="13" t="n"/>
      <c r="C45" s="13" t="n"/>
      <c r="D45" s="13" t="n"/>
      <c r="E45" s="13" t="n"/>
      <c r="F45" s="24">
        <f>IFERROR(E45/D45,"")</f>
        <v/>
      </c>
      <c r="G45" s="13" t="n"/>
      <c r="H45" s="13" t="n"/>
      <c r="I45" s="13">
        <f>IFERROR(60/G45,"")</f>
        <v/>
      </c>
      <c r="J45" s="13" t="n"/>
    </row>
    <row r="46">
      <c r="A46" s="15" t="n"/>
      <c r="B46" s="15" t="n"/>
      <c r="C46" s="15" t="n"/>
      <c r="D46" s="15" t="n"/>
      <c r="E46" s="15" t="n"/>
      <c r="F46" s="25">
        <f>IFERROR(E46/D46,"")</f>
        <v/>
      </c>
      <c r="G46" s="15" t="n"/>
      <c r="H46" s="15" t="n"/>
      <c r="I46" s="15">
        <f>IFERROR(60/G46,"")</f>
        <v/>
      </c>
      <c r="J46" s="15" t="n"/>
    </row>
    <row r="47">
      <c r="A47" s="13" t="n"/>
      <c r="B47" s="13" t="n"/>
      <c r="C47" s="13" t="n"/>
      <c r="D47" s="13" t="n"/>
      <c r="E47" s="13" t="n"/>
      <c r="F47" s="24">
        <f>IFERROR(E47/D47,"")</f>
        <v/>
      </c>
      <c r="G47" s="13" t="n"/>
      <c r="H47" s="13" t="n"/>
      <c r="I47" s="13">
        <f>IFERROR(60/G47,"")</f>
        <v/>
      </c>
      <c r="J47" s="13" t="n"/>
    </row>
    <row r="48">
      <c r="A48" s="15" t="n"/>
      <c r="B48" s="15" t="n"/>
      <c r="C48" s="15" t="n"/>
      <c r="D48" s="15" t="n"/>
      <c r="E48" s="15" t="n"/>
      <c r="F48" s="25">
        <f>IFERROR(E48/D48,"")</f>
        <v/>
      </c>
      <c r="G48" s="15" t="n"/>
      <c r="H48" s="15" t="n"/>
      <c r="I48" s="15">
        <f>IFERROR(60/G48,"")</f>
        <v/>
      </c>
      <c r="J48" s="15" t="n"/>
    </row>
    <row r="49">
      <c r="A49" s="13" t="n"/>
      <c r="B49" s="13" t="n"/>
      <c r="C49" s="13" t="n"/>
      <c r="D49" s="13" t="n"/>
      <c r="E49" s="13" t="n"/>
      <c r="F49" s="24">
        <f>IFERROR(E49/D49,"")</f>
        <v/>
      </c>
      <c r="G49" s="13" t="n"/>
      <c r="H49" s="13" t="n"/>
      <c r="I49" s="13">
        <f>IFERROR(60/G49,"")</f>
        <v/>
      </c>
      <c r="J49" s="13" t="n"/>
    </row>
    <row r="50">
      <c r="A50" s="15" t="n"/>
      <c r="B50" s="15" t="n"/>
      <c r="C50" s="15" t="n"/>
      <c r="D50" s="15" t="n"/>
      <c r="E50" s="15" t="n"/>
      <c r="F50" s="25">
        <f>IFERROR(E50/D50,"")</f>
        <v/>
      </c>
      <c r="G50" s="15" t="n"/>
      <c r="H50" s="15" t="n"/>
      <c r="I50" s="15">
        <f>IFERROR(60/G50,"")</f>
        <v/>
      </c>
      <c r="J50" s="15" t="n"/>
    </row>
    <row r="51">
      <c r="A51" s="13" t="n"/>
      <c r="B51" s="13" t="n"/>
      <c r="C51" s="13" t="n"/>
      <c r="D51" s="13" t="n"/>
      <c r="E51" s="13" t="n"/>
      <c r="F51" s="24">
        <f>IFERROR(E51/D51,"")</f>
        <v/>
      </c>
      <c r="G51" s="13" t="n"/>
      <c r="H51" s="13" t="n"/>
      <c r="I51" s="13">
        <f>IFERROR(60/G51,"")</f>
        <v/>
      </c>
      <c r="J51" s="13" t="n"/>
    </row>
    <row r="52">
      <c r="A52" s="15" t="n"/>
      <c r="B52" s="15" t="n"/>
      <c r="C52" s="15" t="n"/>
      <c r="D52" s="15" t="n"/>
      <c r="E52" s="15" t="n"/>
      <c r="F52" s="25">
        <f>IFERROR(E52/D52,"")</f>
        <v/>
      </c>
      <c r="G52" s="15" t="n"/>
      <c r="H52" s="15" t="n"/>
      <c r="I52" s="15">
        <f>IFERROR(60/G52,"")</f>
        <v/>
      </c>
      <c r="J52" s="15" t="n"/>
    </row>
    <row r="53">
      <c r="A53" s="13" t="n"/>
      <c r="B53" s="13" t="n"/>
      <c r="C53" s="13" t="n"/>
      <c r="D53" s="13" t="n"/>
      <c r="E53" s="13" t="n"/>
      <c r="F53" s="24">
        <f>IFERROR(E53/D53,"")</f>
        <v/>
      </c>
      <c r="G53" s="13" t="n"/>
      <c r="H53" s="13" t="n"/>
      <c r="I53" s="13">
        <f>IFERROR(60/G53,"")</f>
        <v/>
      </c>
      <c r="J53" s="13" t="n"/>
    </row>
    <row r="54">
      <c r="A54" s="15" t="n"/>
      <c r="B54" s="15" t="n"/>
      <c r="C54" s="15" t="n"/>
      <c r="D54" s="15" t="n"/>
      <c r="E54" s="15" t="n"/>
      <c r="F54" s="25">
        <f>IFERROR(E54/D54,"")</f>
        <v/>
      </c>
      <c r="G54" s="15" t="n"/>
      <c r="H54" s="15" t="n"/>
      <c r="I54" s="15">
        <f>IFERROR(60/G54,"")</f>
        <v/>
      </c>
      <c r="J54" s="15" t="n"/>
    </row>
  </sheetData>
  <mergeCells count="2">
    <mergeCell ref="A1:J1"/>
    <mergeCell ref="A2:J2"/>
  </mergeCells>
  <conditionalFormatting sqref="F5:F54">
    <cfRule type="cellIs" priority="1" operator="between" dxfId="2">
      <formula>0.85</formula>
      <formula>1.15</formula>
    </cfRule>
    <cfRule type="cellIs" priority="2" operator="lessThan" dxfId="0">
      <formula>0.85</formula>
    </cfRule>
    <cfRule type="cellIs" priority="3" operator="greaterThan" dxfId="0">
      <formula>1.15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:I1"/>
    </sheetView>
  </sheetViews>
  <sheetFormatPr baseColWidth="8" defaultRowHeight="14.4"/>
  <cols>
    <col width="14" customWidth="1" style="27" min="1" max="1"/>
    <col width="12" customWidth="1" style="27" min="2" max="3"/>
    <col width="14" customWidth="1" style="27" min="4" max="8"/>
    <col width="30" customWidth="1" style="27" min="9" max="9"/>
  </cols>
  <sheetData>
    <row r="1" ht="21" customHeight="1" s="27">
      <c r="A1" s="45" t="inlineStr">
        <is>
          <t>CARGA-MÁQUINA</t>
        </is>
      </c>
    </row>
    <row r="2">
      <c r="A2" s="39" t="inlineStr">
        <is>
          <t>Capacidade teórica × demanda real × ocupação · barra de cor por máquina</t>
        </is>
      </c>
    </row>
    <row r="4" ht="28.05" customHeight="1" s="27">
      <c r="A4" s="14" t="inlineStr">
        <is>
          <t>MÁQUINA</t>
        </is>
      </c>
      <c r="B4" s="14" t="inlineStr">
        <is>
          <t>DIAS_MES</t>
        </is>
      </c>
      <c r="C4" s="14" t="inlineStr">
        <is>
          <t>H_DIA</t>
        </is>
      </c>
      <c r="D4" s="14" t="inlineStr">
        <is>
          <t>CAP_TEÓRICA_H</t>
        </is>
      </c>
      <c r="E4" s="14" t="inlineStr">
        <is>
          <t>H_PRODUZIDA</t>
        </is>
      </c>
      <c r="F4" s="14" t="inlineStr">
        <is>
          <t>H_SETUP</t>
        </is>
      </c>
      <c r="G4" s="14" t="inlineStr">
        <is>
          <t>H_PARADA</t>
        </is>
      </c>
      <c r="H4" s="14" t="inlineStr">
        <is>
          <t>OCUPAÇÃO_%</t>
        </is>
      </c>
      <c r="I4" s="14" t="inlineStr">
        <is>
          <t>OBS</t>
        </is>
      </c>
    </row>
    <row r="5">
      <c r="A5" s="13" t="n"/>
      <c r="B5" s="13" t="n"/>
      <c r="C5" s="13" t="n"/>
      <c r="D5" s="13">
        <f>IFERROR(B5*C5,"")</f>
        <v/>
      </c>
      <c r="E5" s="13" t="n"/>
      <c r="F5" s="13" t="n"/>
      <c r="G5" s="13" t="n"/>
      <c r="H5" s="17">
        <f>IFERROR((E5+F5)/D5,"")</f>
        <v/>
      </c>
      <c r="I5" s="13" t="n"/>
    </row>
    <row r="6">
      <c r="A6" s="15" t="n"/>
      <c r="B6" s="15" t="n"/>
      <c r="C6" s="15" t="n"/>
      <c r="D6" s="15">
        <f>IFERROR(B6*C6,"")</f>
        <v/>
      </c>
      <c r="E6" s="15" t="n"/>
      <c r="F6" s="15" t="n"/>
      <c r="G6" s="15" t="n"/>
      <c r="H6" s="16">
        <f>IFERROR((E6+F6)/D6,"")</f>
        <v/>
      </c>
      <c r="I6" s="15" t="n"/>
    </row>
    <row r="7">
      <c r="A7" s="13" t="n"/>
      <c r="B7" s="13" t="n"/>
      <c r="C7" s="13" t="n"/>
      <c r="D7" s="13">
        <f>IFERROR(B7*C7,"")</f>
        <v/>
      </c>
      <c r="E7" s="13" t="n"/>
      <c r="F7" s="13" t="n"/>
      <c r="G7" s="13" t="n"/>
      <c r="H7" s="17">
        <f>IFERROR((E7+F7)/D7,"")</f>
        <v/>
      </c>
      <c r="I7" s="13" t="n"/>
    </row>
    <row r="8">
      <c r="A8" s="15" t="n"/>
      <c r="B8" s="15" t="n"/>
      <c r="C8" s="15" t="n"/>
      <c r="D8" s="15">
        <f>IFERROR(B8*C8,"")</f>
        <v/>
      </c>
      <c r="E8" s="15" t="n"/>
      <c r="F8" s="15" t="n"/>
      <c r="G8" s="15" t="n"/>
      <c r="H8" s="16">
        <f>IFERROR((E8+F8)/D8,"")</f>
        <v/>
      </c>
      <c r="I8" s="15" t="n"/>
    </row>
    <row r="9">
      <c r="A9" s="13" t="n"/>
      <c r="B9" s="13" t="n"/>
      <c r="C9" s="13" t="n"/>
      <c r="D9" s="13">
        <f>IFERROR(B9*C9,"")</f>
        <v/>
      </c>
      <c r="E9" s="13" t="n"/>
      <c r="F9" s="13" t="n"/>
      <c r="G9" s="13" t="n"/>
      <c r="H9" s="17">
        <f>IFERROR((E9+F9)/D9,"")</f>
        <v/>
      </c>
      <c r="I9" s="13" t="n"/>
    </row>
    <row r="10">
      <c r="A10" s="15" t="n"/>
      <c r="B10" s="15" t="n"/>
      <c r="C10" s="15" t="n"/>
      <c r="D10" s="15">
        <f>IFERROR(B10*C10,"")</f>
        <v/>
      </c>
      <c r="E10" s="15" t="n"/>
      <c r="F10" s="15" t="n"/>
      <c r="G10" s="15" t="n"/>
      <c r="H10" s="16">
        <f>IFERROR((E10+F10)/D10,"")</f>
        <v/>
      </c>
      <c r="I10" s="15" t="n"/>
    </row>
    <row r="11">
      <c r="A11" s="13" t="n"/>
      <c r="B11" s="13" t="n"/>
      <c r="C11" s="13" t="n"/>
      <c r="D11" s="13">
        <f>IFERROR(B11*C11,"")</f>
        <v/>
      </c>
      <c r="E11" s="13" t="n"/>
      <c r="F11" s="13" t="n"/>
      <c r="G11" s="13" t="n"/>
      <c r="H11" s="17">
        <f>IFERROR((E11+F11)/D11,"")</f>
        <v/>
      </c>
      <c r="I11" s="13" t="n"/>
    </row>
    <row r="12">
      <c r="A12" s="15" t="n"/>
      <c r="B12" s="15" t="n"/>
      <c r="C12" s="15" t="n"/>
      <c r="D12" s="15">
        <f>IFERROR(B12*C12,"")</f>
        <v/>
      </c>
      <c r="E12" s="15" t="n"/>
      <c r="F12" s="15" t="n"/>
      <c r="G12" s="15" t="n"/>
      <c r="H12" s="16">
        <f>IFERROR((E12+F12)/D12,"")</f>
        <v/>
      </c>
      <c r="I12" s="15" t="n"/>
    </row>
    <row r="13">
      <c r="A13" s="13" t="n"/>
      <c r="B13" s="13" t="n"/>
      <c r="C13" s="13" t="n"/>
      <c r="D13" s="13">
        <f>IFERROR(B13*C13,"")</f>
        <v/>
      </c>
      <c r="E13" s="13" t="n"/>
      <c r="F13" s="13" t="n"/>
      <c r="G13" s="13" t="n"/>
      <c r="H13" s="17">
        <f>IFERROR((E13+F13)/D13,"")</f>
        <v/>
      </c>
      <c r="I13" s="13" t="n"/>
    </row>
    <row r="14">
      <c r="A14" s="15" t="n"/>
      <c r="B14" s="15" t="n"/>
      <c r="C14" s="15" t="n"/>
      <c r="D14" s="15">
        <f>IFERROR(B14*C14,"")</f>
        <v/>
      </c>
      <c r="E14" s="15" t="n"/>
      <c r="F14" s="15" t="n"/>
      <c r="G14" s="15" t="n"/>
      <c r="H14" s="16">
        <f>IFERROR((E14+F14)/D14,"")</f>
        <v/>
      </c>
      <c r="I14" s="15" t="n"/>
    </row>
    <row r="15">
      <c r="A15" s="13" t="n"/>
      <c r="B15" s="13" t="n"/>
      <c r="C15" s="13" t="n"/>
      <c r="D15" s="13">
        <f>IFERROR(B15*C15,"")</f>
        <v/>
      </c>
      <c r="E15" s="13" t="n"/>
      <c r="F15" s="13" t="n"/>
      <c r="G15" s="13" t="n"/>
      <c r="H15" s="17">
        <f>IFERROR((E15+F15)/D15,"")</f>
        <v/>
      </c>
      <c r="I15" s="13" t="n"/>
    </row>
    <row r="16">
      <c r="A16" s="15" t="n"/>
      <c r="B16" s="15" t="n"/>
      <c r="C16" s="15" t="n"/>
      <c r="D16" s="15">
        <f>IFERROR(B16*C16,"")</f>
        <v/>
      </c>
      <c r="E16" s="15" t="n"/>
      <c r="F16" s="15" t="n"/>
      <c r="G16" s="15" t="n"/>
      <c r="H16" s="16">
        <f>IFERROR((E16+F16)/D16,"")</f>
        <v/>
      </c>
      <c r="I16" s="15" t="n"/>
    </row>
    <row r="17">
      <c r="A17" s="13" t="n"/>
      <c r="B17" s="13" t="n"/>
      <c r="C17" s="13" t="n"/>
      <c r="D17" s="13">
        <f>IFERROR(B17*C17,"")</f>
        <v/>
      </c>
      <c r="E17" s="13" t="n"/>
      <c r="F17" s="13" t="n"/>
      <c r="G17" s="13" t="n"/>
      <c r="H17" s="17">
        <f>IFERROR((E17+F17)/D17,"")</f>
        <v/>
      </c>
      <c r="I17" s="13" t="n"/>
    </row>
    <row r="18">
      <c r="A18" s="15" t="n"/>
      <c r="B18" s="15" t="n"/>
      <c r="C18" s="15" t="n"/>
      <c r="D18" s="15">
        <f>IFERROR(B18*C18,"")</f>
        <v/>
      </c>
      <c r="E18" s="15" t="n"/>
      <c r="F18" s="15" t="n"/>
      <c r="G18" s="15" t="n"/>
      <c r="H18" s="16">
        <f>IFERROR((E18+F18)/D18,"")</f>
        <v/>
      </c>
      <c r="I18" s="15" t="n"/>
    </row>
    <row r="19">
      <c r="A19" s="13" t="n"/>
      <c r="B19" s="13" t="n"/>
      <c r="C19" s="13" t="n"/>
      <c r="D19" s="13">
        <f>IFERROR(B19*C19,"")</f>
        <v/>
      </c>
      <c r="E19" s="13" t="n"/>
      <c r="F19" s="13" t="n"/>
      <c r="G19" s="13" t="n"/>
      <c r="H19" s="17">
        <f>IFERROR((E19+F19)/D19,"")</f>
        <v/>
      </c>
      <c r="I19" s="13" t="n"/>
    </row>
    <row r="20">
      <c r="A20" s="15" t="n"/>
      <c r="B20" s="15" t="n"/>
      <c r="C20" s="15" t="n"/>
      <c r="D20" s="15">
        <f>IFERROR(B20*C20,"")</f>
        <v/>
      </c>
      <c r="E20" s="15" t="n"/>
      <c r="F20" s="15" t="n"/>
      <c r="G20" s="15" t="n"/>
      <c r="H20" s="16">
        <f>IFERROR((E20+F20)/D20,"")</f>
        <v/>
      </c>
      <c r="I20" s="15" t="n"/>
    </row>
    <row r="21">
      <c r="A21" s="13" t="n"/>
      <c r="B21" s="13" t="n"/>
      <c r="C21" s="13" t="n"/>
      <c r="D21" s="13">
        <f>IFERROR(B21*C21,"")</f>
        <v/>
      </c>
      <c r="E21" s="13" t="n"/>
      <c r="F21" s="13" t="n"/>
      <c r="G21" s="13" t="n"/>
      <c r="H21" s="17">
        <f>IFERROR((E21+F21)/D21,"")</f>
        <v/>
      </c>
      <c r="I21" s="13" t="n"/>
    </row>
    <row r="22">
      <c r="A22" s="15" t="n"/>
      <c r="B22" s="15" t="n"/>
      <c r="C22" s="15" t="n"/>
      <c r="D22" s="15">
        <f>IFERROR(B22*C22,"")</f>
        <v/>
      </c>
      <c r="E22" s="15" t="n"/>
      <c r="F22" s="15" t="n"/>
      <c r="G22" s="15" t="n"/>
      <c r="H22" s="16">
        <f>IFERROR((E22+F22)/D22,"")</f>
        <v/>
      </c>
      <c r="I22" s="15" t="n"/>
    </row>
    <row r="23">
      <c r="A23" s="13" t="n"/>
      <c r="B23" s="13" t="n"/>
      <c r="C23" s="13" t="n"/>
      <c r="D23" s="13">
        <f>IFERROR(B23*C23,"")</f>
        <v/>
      </c>
      <c r="E23" s="13" t="n"/>
      <c r="F23" s="13" t="n"/>
      <c r="G23" s="13" t="n"/>
      <c r="H23" s="17">
        <f>IFERROR((E23+F23)/D23,"")</f>
        <v/>
      </c>
      <c r="I23" s="13" t="n"/>
    </row>
    <row r="24">
      <c r="A24" s="15" t="n"/>
      <c r="B24" s="15" t="n"/>
      <c r="C24" s="15" t="n"/>
      <c r="D24" s="15">
        <f>IFERROR(B24*C24,"")</f>
        <v/>
      </c>
      <c r="E24" s="15" t="n"/>
      <c r="F24" s="15" t="n"/>
      <c r="G24" s="15" t="n"/>
      <c r="H24" s="16">
        <f>IFERROR((E24+F24)/D24,"")</f>
        <v/>
      </c>
      <c r="I24" s="15" t="n"/>
    </row>
  </sheetData>
  <mergeCells count="2">
    <mergeCell ref="A1:I1"/>
    <mergeCell ref="A2:I2"/>
  </mergeCells>
  <conditionalFormatting sqref="H5:H24">
    <cfRule type="dataBar" priority="1">
      <dataBar>
        <cfvo type="num" val="0"/>
        <cfvo type="num" val="1"/>
        <color rgb="FF1F3A5F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4" topLeftCell="A5" activePane="bottomLeft" state="frozen"/>
      <selection pane="bottomLeft" activeCell="A1" sqref="A1:I1"/>
    </sheetView>
  </sheetViews>
  <sheetFormatPr baseColWidth="8" defaultRowHeight="14.4"/>
  <cols>
    <col width="14" customWidth="1" style="27" min="1" max="3"/>
    <col width="12" customWidth="1" style="27" min="4" max="4"/>
    <col width="14" customWidth="1" style="27" min="5" max="7"/>
    <col width="12" customWidth="1" style="27" min="8" max="8"/>
    <col width="30" customWidth="1" style="27" min="9" max="9"/>
  </cols>
  <sheetData>
    <row r="1" ht="21" customHeight="1" s="27">
      <c r="A1" s="45" t="inlineStr">
        <is>
          <t>PRODUTIVIDADE — MATRIZ O × M × P</t>
        </is>
      </c>
    </row>
    <row r="2">
      <c r="A2" s="39" t="inlineStr">
        <is>
          <t>Eficiência = (QTD × TP_OFICIAL) ÷ T_REAL · heatmap por linha</t>
        </is>
      </c>
    </row>
    <row r="4" ht="28.05" customHeight="1" s="27">
      <c r="A4" s="14" t="inlineStr">
        <is>
          <t>OPERADOR</t>
        </is>
      </c>
      <c r="B4" s="14" t="inlineStr">
        <is>
          <t>MÁQUINA</t>
        </is>
      </c>
      <c r="C4" s="14" t="inlineStr">
        <is>
          <t>PEÇA</t>
        </is>
      </c>
      <c r="D4" s="14" t="inlineStr">
        <is>
          <t>QTD_PROD</t>
        </is>
      </c>
      <c r="E4" s="14" t="inlineStr">
        <is>
          <t>TP_OFICIAL_MIN</t>
        </is>
      </c>
      <c r="F4" s="14" t="inlineStr">
        <is>
          <t>T_REAL_MIN</t>
        </is>
      </c>
      <c r="G4" s="14" t="inlineStr">
        <is>
          <t>EFICIÊNCIA</t>
        </is>
      </c>
      <c r="H4" s="14" t="inlineStr">
        <is>
          <t>FA_LOCAL</t>
        </is>
      </c>
      <c r="I4" s="14" t="inlineStr">
        <is>
          <t>OBS</t>
        </is>
      </c>
    </row>
    <row r="5">
      <c r="A5" s="13" t="n"/>
      <c r="B5" s="13" t="n"/>
      <c r="C5" s="13" t="n"/>
      <c r="D5" s="13" t="n"/>
      <c r="E5" s="13" t="n"/>
      <c r="F5" s="13" t="n"/>
      <c r="G5" s="17">
        <f>IFERROR(D5*E5/F5,"")</f>
        <v/>
      </c>
      <c r="H5" s="24">
        <f>IFERROR(F5/(D5*E5),"")</f>
        <v/>
      </c>
      <c r="I5" s="13" t="n"/>
    </row>
    <row r="6">
      <c r="A6" s="15" t="n"/>
      <c r="B6" s="15" t="n"/>
      <c r="C6" s="15" t="n"/>
      <c r="D6" s="15" t="n"/>
      <c r="E6" s="15" t="n"/>
      <c r="F6" s="15" t="n"/>
      <c r="G6" s="16">
        <f>IFERROR(D6*E6/F6,"")</f>
        <v/>
      </c>
      <c r="H6" s="25">
        <f>IFERROR(F6/(D6*E6),"")</f>
        <v/>
      </c>
      <c r="I6" s="15" t="n"/>
    </row>
    <row r="7">
      <c r="A7" s="13" t="n"/>
      <c r="B7" s="13" t="n"/>
      <c r="C7" s="13" t="n"/>
      <c r="D7" s="13" t="n"/>
      <c r="E7" s="13" t="n"/>
      <c r="F7" s="13" t="n"/>
      <c r="G7" s="17">
        <f>IFERROR(D7*E7/F7,"")</f>
        <v/>
      </c>
      <c r="H7" s="24">
        <f>IFERROR(F7/(D7*E7),"")</f>
        <v/>
      </c>
      <c r="I7" s="13" t="n"/>
    </row>
    <row r="8">
      <c r="A8" s="15" t="n"/>
      <c r="B8" s="15" t="n"/>
      <c r="C8" s="15" t="n"/>
      <c r="D8" s="15" t="n"/>
      <c r="E8" s="15" t="n"/>
      <c r="F8" s="15" t="n"/>
      <c r="G8" s="16">
        <f>IFERROR(D8*E8/F8,"")</f>
        <v/>
      </c>
      <c r="H8" s="25">
        <f>IFERROR(F8/(D8*E8),"")</f>
        <v/>
      </c>
      <c r="I8" s="15" t="n"/>
    </row>
    <row r="9">
      <c r="A9" s="13" t="n"/>
      <c r="B9" s="13" t="n"/>
      <c r="C9" s="13" t="n"/>
      <c r="D9" s="13" t="n"/>
      <c r="E9" s="13" t="n"/>
      <c r="F9" s="13" t="n"/>
      <c r="G9" s="17">
        <f>IFERROR(D9*E9/F9,"")</f>
        <v/>
      </c>
      <c r="H9" s="24">
        <f>IFERROR(F9/(D9*E9),"")</f>
        <v/>
      </c>
      <c r="I9" s="13" t="n"/>
    </row>
    <row r="10">
      <c r="A10" s="15" t="n"/>
      <c r="B10" s="15" t="n"/>
      <c r="C10" s="15" t="n"/>
      <c r="D10" s="15" t="n"/>
      <c r="E10" s="15" t="n"/>
      <c r="F10" s="15" t="n"/>
      <c r="G10" s="16">
        <f>IFERROR(D10*E10/F10,"")</f>
        <v/>
      </c>
      <c r="H10" s="25">
        <f>IFERROR(F10/(D10*E10),"")</f>
        <v/>
      </c>
      <c r="I10" s="15" t="n"/>
    </row>
    <row r="11">
      <c r="A11" s="13" t="n"/>
      <c r="B11" s="13" t="n"/>
      <c r="C11" s="13" t="n"/>
      <c r="D11" s="13" t="n"/>
      <c r="E11" s="13" t="n"/>
      <c r="F11" s="13" t="n"/>
      <c r="G11" s="17">
        <f>IFERROR(D11*E11/F11,"")</f>
        <v/>
      </c>
      <c r="H11" s="24">
        <f>IFERROR(F11/(D11*E11),"")</f>
        <v/>
      </c>
      <c r="I11" s="13" t="n"/>
    </row>
    <row r="12">
      <c r="A12" s="15" t="n"/>
      <c r="B12" s="15" t="n"/>
      <c r="C12" s="15" t="n"/>
      <c r="D12" s="15" t="n"/>
      <c r="E12" s="15" t="n"/>
      <c r="F12" s="15" t="n"/>
      <c r="G12" s="16">
        <f>IFERROR(D12*E12/F12,"")</f>
        <v/>
      </c>
      <c r="H12" s="25">
        <f>IFERROR(F12/(D12*E12),"")</f>
        <v/>
      </c>
      <c r="I12" s="15" t="n"/>
    </row>
    <row r="13">
      <c r="A13" s="13" t="n"/>
      <c r="B13" s="13" t="n"/>
      <c r="C13" s="13" t="n"/>
      <c r="D13" s="13" t="n"/>
      <c r="E13" s="13" t="n"/>
      <c r="F13" s="13" t="n"/>
      <c r="G13" s="17">
        <f>IFERROR(D13*E13/F13,"")</f>
        <v/>
      </c>
      <c r="H13" s="24">
        <f>IFERROR(F13/(D13*E13),"")</f>
        <v/>
      </c>
      <c r="I13" s="13" t="n"/>
    </row>
    <row r="14">
      <c r="A14" s="15" t="n"/>
      <c r="B14" s="15" t="n"/>
      <c r="C14" s="15" t="n"/>
      <c r="D14" s="15" t="n"/>
      <c r="E14" s="15" t="n"/>
      <c r="F14" s="15" t="n"/>
      <c r="G14" s="16">
        <f>IFERROR(D14*E14/F14,"")</f>
        <v/>
      </c>
      <c r="H14" s="25">
        <f>IFERROR(F14/(D14*E14),"")</f>
        <v/>
      </c>
      <c r="I14" s="15" t="n"/>
    </row>
    <row r="15">
      <c r="A15" s="13" t="n"/>
      <c r="B15" s="13" t="n"/>
      <c r="C15" s="13" t="n"/>
      <c r="D15" s="13" t="n"/>
      <c r="E15" s="13" t="n"/>
      <c r="F15" s="13" t="n"/>
      <c r="G15" s="17">
        <f>IFERROR(D15*E15/F15,"")</f>
        <v/>
      </c>
      <c r="H15" s="24">
        <f>IFERROR(F15/(D15*E15),"")</f>
        <v/>
      </c>
      <c r="I15" s="13" t="n"/>
    </row>
    <row r="16">
      <c r="A16" s="15" t="n"/>
      <c r="B16" s="15" t="n"/>
      <c r="C16" s="15" t="n"/>
      <c r="D16" s="15" t="n"/>
      <c r="E16" s="15" t="n"/>
      <c r="F16" s="15" t="n"/>
      <c r="G16" s="16">
        <f>IFERROR(D16*E16/F16,"")</f>
        <v/>
      </c>
      <c r="H16" s="25">
        <f>IFERROR(F16/(D16*E16),"")</f>
        <v/>
      </c>
      <c r="I16" s="15" t="n"/>
    </row>
    <row r="17">
      <c r="A17" s="13" t="n"/>
      <c r="B17" s="13" t="n"/>
      <c r="C17" s="13" t="n"/>
      <c r="D17" s="13" t="n"/>
      <c r="E17" s="13" t="n"/>
      <c r="F17" s="13" t="n"/>
      <c r="G17" s="17">
        <f>IFERROR(D17*E17/F17,"")</f>
        <v/>
      </c>
      <c r="H17" s="24">
        <f>IFERROR(F17/(D17*E17),"")</f>
        <v/>
      </c>
      <c r="I17" s="13" t="n"/>
    </row>
    <row r="18">
      <c r="A18" s="15" t="n"/>
      <c r="B18" s="15" t="n"/>
      <c r="C18" s="15" t="n"/>
      <c r="D18" s="15" t="n"/>
      <c r="E18" s="15" t="n"/>
      <c r="F18" s="15" t="n"/>
      <c r="G18" s="16">
        <f>IFERROR(D18*E18/F18,"")</f>
        <v/>
      </c>
      <c r="H18" s="25">
        <f>IFERROR(F18/(D18*E18),"")</f>
        <v/>
      </c>
      <c r="I18" s="15" t="n"/>
    </row>
    <row r="19">
      <c r="A19" s="13" t="n"/>
      <c r="B19" s="13" t="n"/>
      <c r="C19" s="13" t="n"/>
      <c r="D19" s="13" t="n"/>
      <c r="E19" s="13" t="n"/>
      <c r="F19" s="13" t="n"/>
      <c r="G19" s="17">
        <f>IFERROR(D19*E19/F19,"")</f>
        <v/>
      </c>
      <c r="H19" s="24">
        <f>IFERROR(F19/(D19*E19),"")</f>
        <v/>
      </c>
      <c r="I19" s="13" t="n"/>
    </row>
    <row r="20">
      <c r="A20" s="15" t="n"/>
      <c r="B20" s="15" t="n"/>
      <c r="C20" s="15" t="n"/>
      <c r="D20" s="15" t="n"/>
      <c r="E20" s="15" t="n"/>
      <c r="F20" s="15" t="n"/>
      <c r="G20" s="16">
        <f>IFERROR(D20*E20/F20,"")</f>
        <v/>
      </c>
      <c r="H20" s="25">
        <f>IFERROR(F20/(D20*E20),"")</f>
        <v/>
      </c>
      <c r="I20" s="15" t="n"/>
    </row>
    <row r="21">
      <c r="A21" s="13" t="n"/>
      <c r="B21" s="13" t="n"/>
      <c r="C21" s="13" t="n"/>
      <c r="D21" s="13" t="n"/>
      <c r="E21" s="13" t="n"/>
      <c r="F21" s="13" t="n"/>
      <c r="G21" s="17">
        <f>IFERROR(D21*E21/F21,"")</f>
        <v/>
      </c>
      <c r="H21" s="24">
        <f>IFERROR(F21/(D21*E21),"")</f>
        <v/>
      </c>
      <c r="I21" s="13" t="n"/>
    </row>
    <row r="22">
      <c r="A22" s="15" t="n"/>
      <c r="B22" s="15" t="n"/>
      <c r="C22" s="15" t="n"/>
      <c r="D22" s="15" t="n"/>
      <c r="E22" s="15" t="n"/>
      <c r="F22" s="15" t="n"/>
      <c r="G22" s="16">
        <f>IFERROR(D22*E22/F22,"")</f>
        <v/>
      </c>
      <c r="H22" s="25">
        <f>IFERROR(F22/(D22*E22),"")</f>
        <v/>
      </c>
      <c r="I22" s="15" t="n"/>
    </row>
    <row r="23">
      <c r="A23" s="13" t="n"/>
      <c r="B23" s="13" t="n"/>
      <c r="C23" s="13" t="n"/>
      <c r="D23" s="13" t="n"/>
      <c r="E23" s="13" t="n"/>
      <c r="F23" s="13" t="n"/>
      <c r="G23" s="17">
        <f>IFERROR(D23*E23/F23,"")</f>
        <v/>
      </c>
      <c r="H23" s="24">
        <f>IFERROR(F23/(D23*E23),"")</f>
        <v/>
      </c>
      <c r="I23" s="13" t="n"/>
    </row>
    <row r="24">
      <c r="A24" s="15" t="n"/>
      <c r="B24" s="15" t="n"/>
      <c r="C24" s="15" t="n"/>
      <c r="D24" s="15" t="n"/>
      <c r="E24" s="15" t="n"/>
      <c r="F24" s="15" t="n"/>
      <c r="G24" s="16">
        <f>IFERROR(D24*E24/F24,"")</f>
        <v/>
      </c>
      <c r="H24" s="25">
        <f>IFERROR(F24/(D24*E24),"")</f>
        <v/>
      </c>
      <c r="I24" s="15" t="n"/>
    </row>
    <row r="25">
      <c r="A25" s="13" t="n"/>
      <c r="B25" s="13" t="n"/>
      <c r="C25" s="13" t="n"/>
      <c r="D25" s="13" t="n"/>
      <c r="E25" s="13" t="n"/>
      <c r="F25" s="13" t="n"/>
      <c r="G25" s="17">
        <f>IFERROR(D25*E25/F25,"")</f>
        <v/>
      </c>
      <c r="H25" s="24">
        <f>IFERROR(F25/(D25*E25),"")</f>
        <v/>
      </c>
      <c r="I25" s="13" t="n"/>
    </row>
    <row r="26">
      <c r="A26" s="15" t="n"/>
      <c r="B26" s="15" t="n"/>
      <c r="C26" s="15" t="n"/>
      <c r="D26" s="15" t="n"/>
      <c r="E26" s="15" t="n"/>
      <c r="F26" s="15" t="n"/>
      <c r="G26" s="16">
        <f>IFERROR(D26*E26/F26,"")</f>
        <v/>
      </c>
      <c r="H26" s="25">
        <f>IFERROR(F26/(D26*E26),"")</f>
        <v/>
      </c>
      <c r="I26" s="15" t="n"/>
    </row>
    <row r="27">
      <c r="A27" s="13" t="n"/>
      <c r="B27" s="13" t="n"/>
      <c r="C27" s="13" t="n"/>
      <c r="D27" s="13" t="n"/>
      <c r="E27" s="13" t="n"/>
      <c r="F27" s="13" t="n"/>
      <c r="G27" s="17">
        <f>IFERROR(D27*E27/F27,"")</f>
        <v/>
      </c>
      <c r="H27" s="24">
        <f>IFERROR(F27/(D27*E27),"")</f>
        <v/>
      </c>
      <c r="I27" s="13" t="n"/>
    </row>
    <row r="28">
      <c r="A28" s="15" t="n"/>
      <c r="B28" s="15" t="n"/>
      <c r="C28" s="15" t="n"/>
      <c r="D28" s="15" t="n"/>
      <c r="E28" s="15" t="n"/>
      <c r="F28" s="15" t="n"/>
      <c r="G28" s="16">
        <f>IFERROR(D28*E28/F28,"")</f>
        <v/>
      </c>
      <c r="H28" s="25">
        <f>IFERROR(F28/(D28*E28),"")</f>
        <v/>
      </c>
      <c r="I28" s="15" t="n"/>
    </row>
    <row r="29">
      <c r="A29" s="13" t="n"/>
      <c r="B29" s="13" t="n"/>
      <c r="C29" s="13" t="n"/>
      <c r="D29" s="13" t="n"/>
      <c r="E29" s="13" t="n"/>
      <c r="F29" s="13" t="n"/>
      <c r="G29" s="17">
        <f>IFERROR(D29*E29/F29,"")</f>
        <v/>
      </c>
      <c r="H29" s="24">
        <f>IFERROR(F29/(D29*E29),"")</f>
        <v/>
      </c>
      <c r="I29" s="13" t="n"/>
    </row>
    <row r="30">
      <c r="A30" s="15" t="n"/>
      <c r="B30" s="15" t="n"/>
      <c r="C30" s="15" t="n"/>
      <c r="D30" s="15" t="n"/>
      <c r="E30" s="15" t="n"/>
      <c r="F30" s="15" t="n"/>
      <c r="G30" s="16">
        <f>IFERROR(D30*E30/F30,"")</f>
        <v/>
      </c>
      <c r="H30" s="25">
        <f>IFERROR(F30/(D30*E30),"")</f>
        <v/>
      </c>
      <c r="I30" s="15" t="n"/>
    </row>
    <row r="31">
      <c r="A31" s="13" t="n"/>
      <c r="B31" s="13" t="n"/>
      <c r="C31" s="13" t="n"/>
      <c r="D31" s="13" t="n"/>
      <c r="E31" s="13" t="n"/>
      <c r="F31" s="13" t="n"/>
      <c r="G31" s="17">
        <f>IFERROR(D31*E31/F31,"")</f>
        <v/>
      </c>
      <c r="H31" s="24">
        <f>IFERROR(F31/(D31*E31),"")</f>
        <v/>
      </c>
      <c r="I31" s="13" t="n"/>
    </row>
    <row r="32">
      <c r="A32" s="15" t="n"/>
      <c r="B32" s="15" t="n"/>
      <c r="C32" s="15" t="n"/>
      <c r="D32" s="15" t="n"/>
      <c r="E32" s="15" t="n"/>
      <c r="F32" s="15" t="n"/>
      <c r="G32" s="16">
        <f>IFERROR(D32*E32/F32,"")</f>
        <v/>
      </c>
      <c r="H32" s="25">
        <f>IFERROR(F32/(D32*E32),"")</f>
        <v/>
      </c>
      <c r="I32" s="15" t="n"/>
    </row>
    <row r="33">
      <c r="A33" s="13" t="n"/>
      <c r="B33" s="13" t="n"/>
      <c r="C33" s="13" t="n"/>
      <c r="D33" s="13" t="n"/>
      <c r="E33" s="13" t="n"/>
      <c r="F33" s="13" t="n"/>
      <c r="G33" s="17">
        <f>IFERROR(D33*E33/F33,"")</f>
        <v/>
      </c>
      <c r="H33" s="24">
        <f>IFERROR(F33/(D33*E33),"")</f>
        <v/>
      </c>
      <c r="I33" s="13" t="n"/>
    </row>
    <row r="34">
      <c r="A34" s="15" t="n"/>
      <c r="B34" s="15" t="n"/>
      <c r="C34" s="15" t="n"/>
      <c r="D34" s="15" t="n"/>
      <c r="E34" s="15" t="n"/>
      <c r="F34" s="15" t="n"/>
      <c r="G34" s="16">
        <f>IFERROR(D34*E34/F34,"")</f>
        <v/>
      </c>
      <c r="H34" s="25">
        <f>IFERROR(F34/(D34*E34),"")</f>
        <v/>
      </c>
      <c r="I34" s="15" t="n"/>
    </row>
    <row r="35">
      <c r="A35" s="13" t="n"/>
      <c r="B35" s="13" t="n"/>
      <c r="C35" s="13" t="n"/>
      <c r="D35" s="13" t="n"/>
      <c r="E35" s="13" t="n"/>
      <c r="F35" s="13" t="n"/>
      <c r="G35" s="17">
        <f>IFERROR(D35*E35/F35,"")</f>
        <v/>
      </c>
      <c r="H35" s="24">
        <f>IFERROR(F35/(D35*E35),"")</f>
        <v/>
      </c>
      <c r="I35" s="13" t="n"/>
    </row>
    <row r="36">
      <c r="A36" s="15" t="n"/>
      <c r="B36" s="15" t="n"/>
      <c r="C36" s="15" t="n"/>
      <c r="D36" s="15" t="n"/>
      <c r="E36" s="15" t="n"/>
      <c r="F36" s="15" t="n"/>
      <c r="G36" s="16">
        <f>IFERROR(D36*E36/F36,"")</f>
        <v/>
      </c>
      <c r="H36" s="25">
        <f>IFERROR(F36/(D36*E36),"")</f>
        <v/>
      </c>
      <c r="I36" s="15" t="n"/>
    </row>
    <row r="37">
      <c r="A37" s="13" t="n"/>
      <c r="B37" s="13" t="n"/>
      <c r="C37" s="13" t="n"/>
      <c r="D37" s="13" t="n"/>
      <c r="E37" s="13" t="n"/>
      <c r="F37" s="13" t="n"/>
      <c r="G37" s="17">
        <f>IFERROR(D37*E37/F37,"")</f>
        <v/>
      </c>
      <c r="H37" s="24">
        <f>IFERROR(F37/(D37*E37),"")</f>
        <v/>
      </c>
      <c r="I37" s="13" t="n"/>
    </row>
    <row r="38">
      <c r="A38" s="15" t="n"/>
      <c r="B38" s="15" t="n"/>
      <c r="C38" s="15" t="n"/>
      <c r="D38" s="15" t="n"/>
      <c r="E38" s="15" t="n"/>
      <c r="F38" s="15" t="n"/>
      <c r="G38" s="16">
        <f>IFERROR(D38*E38/F38,"")</f>
        <v/>
      </c>
      <c r="H38" s="25">
        <f>IFERROR(F38/(D38*E38),"")</f>
        <v/>
      </c>
      <c r="I38" s="15" t="n"/>
    </row>
    <row r="39">
      <c r="A39" s="13" t="n"/>
      <c r="B39" s="13" t="n"/>
      <c r="C39" s="13" t="n"/>
      <c r="D39" s="13" t="n"/>
      <c r="E39" s="13" t="n"/>
      <c r="F39" s="13" t="n"/>
      <c r="G39" s="17">
        <f>IFERROR(D39*E39/F39,"")</f>
        <v/>
      </c>
      <c r="H39" s="24">
        <f>IFERROR(F39/(D39*E39),"")</f>
        <v/>
      </c>
      <c r="I39" s="13" t="n"/>
    </row>
    <row r="40">
      <c r="A40" s="15" t="n"/>
      <c r="B40" s="15" t="n"/>
      <c r="C40" s="15" t="n"/>
      <c r="D40" s="15" t="n"/>
      <c r="E40" s="15" t="n"/>
      <c r="F40" s="15" t="n"/>
      <c r="G40" s="16">
        <f>IFERROR(D40*E40/F40,"")</f>
        <v/>
      </c>
      <c r="H40" s="25">
        <f>IFERROR(F40/(D40*E40),"")</f>
        <v/>
      </c>
      <c r="I40" s="15" t="n"/>
    </row>
    <row r="41">
      <c r="A41" s="13" t="n"/>
      <c r="B41" s="13" t="n"/>
      <c r="C41" s="13" t="n"/>
      <c r="D41" s="13" t="n"/>
      <c r="E41" s="13" t="n"/>
      <c r="F41" s="13" t="n"/>
      <c r="G41" s="17">
        <f>IFERROR(D41*E41/F41,"")</f>
        <v/>
      </c>
      <c r="H41" s="24">
        <f>IFERROR(F41/(D41*E41),"")</f>
        <v/>
      </c>
      <c r="I41" s="13" t="n"/>
    </row>
    <row r="42">
      <c r="A42" s="15" t="n"/>
      <c r="B42" s="15" t="n"/>
      <c r="C42" s="15" t="n"/>
      <c r="D42" s="15" t="n"/>
      <c r="E42" s="15" t="n"/>
      <c r="F42" s="15" t="n"/>
      <c r="G42" s="16">
        <f>IFERROR(D42*E42/F42,"")</f>
        <v/>
      </c>
      <c r="H42" s="25">
        <f>IFERROR(F42/(D42*E42),"")</f>
        <v/>
      </c>
      <c r="I42" s="15" t="n"/>
    </row>
    <row r="43">
      <c r="A43" s="13" t="n"/>
      <c r="B43" s="13" t="n"/>
      <c r="C43" s="13" t="n"/>
      <c r="D43" s="13" t="n"/>
      <c r="E43" s="13" t="n"/>
      <c r="F43" s="13" t="n"/>
      <c r="G43" s="17">
        <f>IFERROR(D43*E43/F43,"")</f>
        <v/>
      </c>
      <c r="H43" s="24">
        <f>IFERROR(F43/(D43*E43),"")</f>
        <v/>
      </c>
      <c r="I43" s="13" t="n"/>
    </row>
    <row r="44">
      <c r="A44" s="15" t="n"/>
      <c r="B44" s="15" t="n"/>
      <c r="C44" s="15" t="n"/>
      <c r="D44" s="15" t="n"/>
      <c r="E44" s="15" t="n"/>
      <c r="F44" s="15" t="n"/>
      <c r="G44" s="16">
        <f>IFERROR(D44*E44/F44,"")</f>
        <v/>
      </c>
      <c r="H44" s="25">
        <f>IFERROR(F44/(D44*E44),"")</f>
        <v/>
      </c>
      <c r="I44" s="15" t="n"/>
    </row>
    <row r="45">
      <c r="A45" s="13" t="n"/>
      <c r="B45" s="13" t="n"/>
      <c r="C45" s="13" t="n"/>
      <c r="D45" s="13" t="n"/>
      <c r="E45" s="13" t="n"/>
      <c r="F45" s="13" t="n"/>
      <c r="G45" s="17">
        <f>IFERROR(D45*E45/F45,"")</f>
        <v/>
      </c>
      <c r="H45" s="24">
        <f>IFERROR(F45/(D45*E45),"")</f>
        <v/>
      </c>
      <c r="I45" s="13" t="n"/>
    </row>
    <row r="46">
      <c r="A46" s="15" t="n"/>
      <c r="B46" s="15" t="n"/>
      <c r="C46" s="15" t="n"/>
      <c r="D46" s="15" t="n"/>
      <c r="E46" s="15" t="n"/>
      <c r="F46" s="15" t="n"/>
      <c r="G46" s="16">
        <f>IFERROR(D46*E46/F46,"")</f>
        <v/>
      </c>
      <c r="H46" s="25">
        <f>IFERROR(F46/(D46*E46),"")</f>
        <v/>
      </c>
      <c r="I46" s="15" t="n"/>
    </row>
    <row r="47">
      <c r="A47" s="13" t="n"/>
      <c r="B47" s="13" t="n"/>
      <c r="C47" s="13" t="n"/>
      <c r="D47" s="13" t="n"/>
      <c r="E47" s="13" t="n"/>
      <c r="F47" s="13" t="n"/>
      <c r="G47" s="17">
        <f>IFERROR(D47*E47/F47,"")</f>
        <v/>
      </c>
      <c r="H47" s="24">
        <f>IFERROR(F47/(D47*E47),"")</f>
        <v/>
      </c>
      <c r="I47" s="13" t="n"/>
    </row>
    <row r="48">
      <c r="A48" s="15" t="n"/>
      <c r="B48" s="15" t="n"/>
      <c r="C48" s="15" t="n"/>
      <c r="D48" s="15" t="n"/>
      <c r="E48" s="15" t="n"/>
      <c r="F48" s="15" t="n"/>
      <c r="G48" s="16">
        <f>IFERROR(D48*E48/F48,"")</f>
        <v/>
      </c>
      <c r="H48" s="25">
        <f>IFERROR(F48/(D48*E48),"")</f>
        <v/>
      </c>
      <c r="I48" s="15" t="n"/>
    </row>
    <row r="49">
      <c r="A49" s="13" t="n"/>
      <c r="B49" s="13" t="n"/>
      <c r="C49" s="13" t="n"/>
      <c r="D49" s="13" t="n"/>
      <c r="E49" s="13" t="n"/>
      <c r="F49" s="13" t="n"/>
      <c r="G49" s="17">
        <f>IFERROR(D49*E49/F49,"")</f>
        <v/>
      </c>
      <c r="H49" s="24">
        <f>IFERROR(F49/(D49*E49),"")</f>
        <v/>
      </c>
      <c r="I49" s="13" t="n"/>
    </row>
    <row r="50">
      <c r="A50" s="15" t="n"/>
      <c r="B50" s="15" t="n"/>
      <c r="C50" s="15" t="n"/>
      <c r="D50" s="15" t="n"/>
      <c r="E50" s="15" t="n"/>
      <c r="F50" s="15" t="n"/>
      <c r="G50" s="16">
        <f>IFERROR(D50*E50/F50,"")</f>
        <v/>
      </c>
      <c r="H50" s="25">
        <f>IFERROR(F50/(D50*E50),"")</f>
        <v/>
      </c>
      <c r="I50" s="15" t="n"/>
    </row>
    <row r="51">
      <c r="A51" s="13" t="n"/>
      <c r="B51" s="13" t="n"/>
      <c r="C51" s="13" t="n"/>
      <c r="D51" s="13" t="n"/>
      <c r="E51" s="13" t="n"/>
      <c r="F51" s="13" t="n"/>
      <c r="G51" s="17">
        <f>IFERROR(D51*E51/F51,"")</f>
        <v/>
      </c>
      <c r="H51" s="24">
        <f>IFERROR(F51/(D51*E51),"")</f>
        <v/>
      </c>
      <c r="I51" s="13" t="n"/>
    </row>
    <row r="52">
      <c r="A52" s="15" t="n"/>
      <c r="B52" s="15" t="n"/>
      <c r="C52" s="15" t="n"/>
      <c r="D52" s="15" t="n"/>
      <c r="E52" s="15" t="n"/>
      <c r="F52" s="15" t="n"/>
      <c r="G52" s="16">
        <f>IFERROR(D52*E52/F52,"")</f>
        <v/>
      </c>
      <c r="H52" s="25">
        <f>IFERROR(F52/(D52*E52),"")</f>
        <v/>
      </c>
      <c r="I52" s="15" t="n"/>
    </row>
    <row r="53">
      <c r="A53" s="13" t="n"/>
      <c r="B53" s="13" t="n"/>
      <c r="C53" s="13" t="n"/>
      <c r="D53" s="13" t="n"/>
      <c r="E53" s="13" t="n"/>
      <c r="F53" s="13" t="n"/>
      <c r="G53" s="17">
        <f>IFERROR(D53*E53/F53,"")</f>
        <v/>
      </c>
      <c r="H53" s="24">
        <f>IFERROR(F53/(D53*E53),"")</f>
        <v/>
      </c>
      <c r="I53" s="13" t="n"/>
    </row>
    <row r="54">
      <c r="A54" s="15" t="n"/>
      <c r="B54" s="15" t="n"/>
      <c r="C54" s="15" t="n"/>
      <c r="D54" s="15" t="n"/>
      <c r="E54" s="15" t="n"/>
      <c r="F54" s="15" t="n"/>
      <c r="G54" s="16">
        <f>IFERROR(D54*E54/F54,"")</f>
        <v/>
      </c>
      <c r="H54" s="25">
        <f>IFERROR(F54/(D54*E54),"")</f>
        <v/>
      </c>
      <c r="I54" s="15" t="n"/>
    </row>
    <row r="55">
      <c r="A55" s="13" t="n"/>
      <c r="B55" s="13" t="n"/>
      <c r="C55" s="13" t="n"/>
      <c r="D55" s="13" t="n"/>
      <c r="E55" s="13" t="n"/>
      <c r="F55" s="13" t="n"/>
      <c r="G55" s="17">
        <f>IFERROR(D55*E55/F55,"")</f>
        <v/>
      </c>
      <c r="H55" s="24">
        <f>IFERROR(F55/(D55*E55),"")</f>
        <v/>
      </c>
      <c r="I55" s="13" t="n"/>
    </row>
    <row r="56">
      <c r="A56" s="15" t="n"/>
      <c r="B56" s="15" t="n"/>
      <c r="C56" s="15" t="n"/>
      <c r="D56" s="15" t="n"/>
      <c r="E56" s="15" t="n"/>
      <c r="F56" s="15" t="n"/>
      <c r="G56" s="16">
        <f>IFERROR(D56*E56/F56,"")</f>
        <v/>
      </c>
      <c r="H56" s="25">
        <f>IFERROR(F56/(D56*E56),"")</f>
        <v/>
      </c>
      <c r="I56" s="15" t="n"/>
    </row>
    <row r="57">
      <c r="A57" s="13" t="n"/>
      <c r="B57" s="13" t="n"/>
      <c r="C57" s="13" t="n"/>
      <c r="D57" s="13" t="n"/>
      <c r="E57" s="13" t="n"/>
      <c r="F57" s="13" t="n"/>
      <c r="G57" s="17">
        <f>IFERROR(D57*E57/F57,"")</f>
        <v/>
      </c>
      <c r="H57" s="24">
        <f>IFERROR(F57/(D57*E57),"")</f>
        <v/>
      </c>
      <c r="I57" s="13" t="n"/>
    </row>
    <row r="58">
      <c r="A58" s="15" t="n"/>
      <c r="B58" s="15" t="n"/>
      <c r="C58" s="15" t="n"/>
      <c r="D58" s="15" t="n"/>
      <c r="E58" s="15" t="n"/>
      <c r="F58" s="15" t="n"/>
      <c r="G58" s="16">
        <f>IFERROR(D58*E58/F58,"")</f>
        <v/>
      </c>
      <c r="H58" s="25">
        <f>IFERROR(F58/(D58*E58),"")</f>
        <v/>
      </c>
      <c r="I58" s="15" t="n"/>
    </row>
    <row r="59">
      <c r="A59" s="13" t="n"/>
      <c r="B59" s="13" t="n"/>
      <c r="C59" s="13" t="n"/>
      <c r="D59" s="13" t="n"/>
      <c r="E59" s="13" t="n"/>
      <c r="F59" s="13" t="n"/>
      <c r="G59" s="17">
        <f>IFERROR(D59*E59/F59,"")</f>
        <v/>
      </c>
      <c r="H59" s="24">
        <f>IFERROR(F59/(D59*E59),"")</f>
        <v/>
      </c>
      <c r="I59" s="13" t="n"/>
    </row>
    <row r="60">
      <c r="A60" s="15" t="n"/>
      <c r="B60" s="15" t="n"/>
      <c r="C60" s="15" t="n"/>
      <c r="D60" s="15" t="n"/>
      <c r="E60" s="15" t="n"/>
      <c r="F60" s="15" t="n"/>
      <c r="G60" s="16">
        <f>IFERROR(D60*E60/F60,"")</f>
        <v/>
      </c>
      <c r="H60" s="25">
        <f>IFERROR(F60/(D60*E60),"")</f>
        <v/>
      </c>
      <c r="I60" s="15" t="n"/>
    </row>
    <row r="61">
      <c r="A61" s="13" t="n"/>
      <c r="B61" s="13" t="n"/>
      <c r="C61" s="13" t="n"/>
      <c r="D61" s="13" t="n"/>
      <c r="E61" s="13" t="n"/>
      <c r="F61" s="13" t="n"/>
      <c r="G61" s="17">
        <f>IFERROR(D61*E61/F61,"")</f>
        <v/>
      </c>
      <c r="H61" s="24">
        <f>IFERROR(F61/(D61*E61),"")</f>
        <v/>
      </c>
      <c r="I61" s="13" t="n"/>
    </row>
    <row r="62">
      <c r="A62" s="15" t="n"/>
      <c r="B62" s="15" t="n"/>
      <c r="C62" s="15" t="n"/>
      <c r="D62" s="15" t="n"/>
      <c r="E62" s="15" t="n"/>
      <c r="F62" s="15" t="n"/>
      <c r="G62" s="16">
        <f>IFERROR(D62*E62/F62,"")</f>
        <v/>
      </c>
      <c r="H62" s="25">
        <f>IFERROR(F62/(D62*E62),"")</f>
        <v/>
      </c>
      <c r="I62" s="15" t="n"/>
    </row>
    <row r="63">
      <c r="A63" s="13" t="n"/>
      <c r="B63" s="13" t="n"/>
      <c r="C63" s="13" t="n"/>
      <c r="D63" s="13" t="n"/>
      <c r="E63" s="13" t="n"/>
      <c r="F63" s="13" t="n"/>
      <c r="G63" s="17">
        <f>IFERROR(D63*E63/F63,"")</f>
        <v/>
      </c>
      <c r="H63" s="24">
        <f>IFERROR(F63/(D63*E63),"")</f>
        <v/>
      </c>
      <c r="I63" s="13" t="n"/>
    </row>
    <row r="64">
      <c r="A64" s="15" t="n"/>
      <c r="B64" s="15" t="n"/>
      <c r="C64" s="15" t="n"/>
      <c r="D64" s="15" t="n"/>
      <c r="E64" s="15" t="n"/>
      <c r="F64" s="15" t="n"/>
      <c r="G64" s="16">
        <f>IFERROR(D64*E64/F64,"")</f>
        <v/>
      </c>
      <c r="H64" s="25">
        <f>IFERROR(F64/(D64*E64),"")</f>
        <v/>
      </c>
      <c r="I64" s="15" t="n"/>
    </row>
    <row r="65">
      <c r="A65" s="13" t="n"/>
      <c r="B65" s="13" t="n"/>
      <c r="C65" s="13" t="n"/>
      <c r="D65" s="13" t="n"/>
      <c r="E65" s="13" t="n"/>
      <c r="F65" s="13" t="n"/>
      <c r="G65" s="17">
        <f>IFERROR(D65*E65/F65,"")</f>
        <v/>
      </c>
      <c r="H65" s="24">
        <f>IFERROR(F65/(D65*E65),"")</f>
        <v/>
      </c>
      <c r="I65" s="13" t="n"/>
    </row>
    <row r="66">
      <c r="A66" s="15" t="n"/>
      <c r="B66" s="15" t="n"/>
      <c r="C66" s="15" t="n"/>
      <c r="D66" s="15" t="n"/>
      <c r="E66" s="15" t="n"/>
      <c r="F66" s="15" t="n"/>
      <c r="G66" s="16">
        <f>IFERROR(D66*E66/F66,"")</f>
        <v/>
      </c>
      <c r="H66" s="25">
        <f>IFERROR(F66/(D66*E66),"")</f>
        <v/>
      </c>
      <c r="I66" s="15" t="n"/>
    </row>
    <row r="67">
      <c r="A67" s="13" t="n"/>
      <c r="B67" s="13" t="n"/>
      <c r="C67" s="13" t="n"/>
      <c r="D67" s="13" t="n"/>
      <c r="E67" s="13" t="n"/>
      <c r="F67" s="13" t="n"/>
      <c r="G67" s="17">
        <f>IFERROR(D67*E67/F67,"")</f>
        <v/>
      </c>
      <c r="H67" s="24">
        <f>IFERROR(F67/(D67*E67),"")</f>
        <v/>
      </c>
      <c r="I67" s="13" t="n"/>
    </row>
    <row r="68">
      <c r="A68" s="15" t="n"/>
      <c r="B68" s="15" t="n"/>
      <c r="C68" s="15" t="n"/>
      <c r="D68" s="15" t="n"/>
      <c r="E68" s="15" t="n"/>
      <c r="F68" s="15" t="n"/>
      <c r="G68" s="16">
        <f>IFERROR(D68*E68/F68,"")</f>
        <v/>
      </c>
      <c r="H68" s="25">
        <f>IFERROR(F68/(D68*E68),"")</f>
        <v/>
      </c>
      <c r="I68" s="15" t="n"/>
    </row>
    <row r="69">
      <c r="A69" s="13" t="n"/>
      <c r="B69" s="13" t="n"/>
      <c r="C69" s="13" t="n"/>
      <c r="D69" s="13" t="n"/>
      <c r="E69" s="13" t="n"/>
      <c r="F69" s="13" t="n"/>
      <c r="G69" s="17">
        <f>IFERROR(D69*E69/F69,"")</f>
        <v/>
      </c>
      <c r="H69" s="24">
        <f>IFERROR(F69/(D69*E69),"")</f>
        <v/>
      </c>
      <c r="I69" s="13" t="n"/>
    </row>
    <row r="70">
      <c r="A70" s="15" t="n"/>
      <c r="B70" s="15" t="n"/>
      <c r="C70" s="15" t="n"/>
      <c r="D70" s="15" t="n"/>
      <c r="E70" s="15" t="n"/>
      <c r="F70" s="15" t="n"/>
      <c r="G70" s="16">
        <f>IFERROR(D70*E70/F70,"")</f>
        <v/>
      </c>
      <c r="H70" s="25">
        <f>IFERROR(F70/(D70*E70),"")</f>
        <v/>
      </c>
      <c r="I70" s="15" t="n"/>
    </row>
    <row r="71">
      <c r="A71" s="13" t="n"/>
      <c r="B71" s="13" t="n"/>
      <c r="C71" s="13" t="n"/>
      <c r="D71" s="13" t="n"/>
      <c r="E71" s="13" t="n"/>
      <c r="F71" s="13" t="n"/>
      <c r="G71" s="17">
        <f>IFERROR(D71*E71/F71,"")</f>
        <v/>
      </c>
      <c r="H71" s="24">
        <f>IFERROR(F71/(D71*E71),"")</f>
        <v/>
      </c>
      <c r="I71" s="13" t="n"/>
    </row>
    <row r="72">
      <c r="A72" s="15" t="n"/>
      <c r="B72" s="15" t="n"/>
      <c r="C72" s="15" t="n"/>
      <c r="D72" s="15" t="n"/>
      <c r="E72" s="15" t="n"/>
      <c r="F72" s="15" t="n"/>
      <c r="G72" s="16">
        <f>IFERROR(D72*E72/F72,"")</f>
        <v/>
      </c>
      <c r="H72" s="25">
        <f>IFERROR(F72/(D72*E72),"")</f>
        <v/>
      </c>
      <c r="I72" s="15" t="n"/>
    </row>
    <row r="73">
      <c r="A73" s="13" t="n"/>
      <c r="B73" s="13" t="n"/>
      <c r="C73" s="13" t="n"/>
      <c r="D73" s="13" t="n"/>
      <c r="E73" s="13" t="n"/>
      <c r="F73" s="13" t="n"/>
      <c r="G73" s="17">
        <f>IFERROR(D73*E73/F73,"")</f>
        <v/>
      </c>
      <c r="H73" s="24">
        <f>IFERROR(F73/(D73*E73),"")</f>
        <v/>
      </c>
      <c r="I73" s="13" t="n"/>
    </row>
    <row r="74">
      <c r="A74" s="15" t="n"/>
      <c r="B74" s="15" t="n"/>
      <c r="C74" s="15" t="n"/>
      <c r="D74" s="15" t="n"/>
      <c r="E74" s="15" t="n"/>
      <c r="F74" s="15" t="n"/>
      <c r="G74" s="16">
        <f>IFERROR(D74*E74/F74,"")</f>
        <v/>
      </c>
      <c r="H74" s="25">
        <f>IFERROR(F74/(D74*E74),"")</f>
        <v/>
      </c>
      <c r="I74" s="15" t="n"/>
    </row>
    <row r="75">
      <c r="A75" s="13" t="n"/>
      <c r="B75" s="13" t="n"/>
      <c r="C75" s="13" t="n"/>
      <c r="D75" s="13" t="n"/>
      <c r="E75" s="13" t="n"/>
      <c r="F75" s="13" t="n"/>
      <c r="G75" s="17">
        <f>IFERROR(D75*E75/F75,"")</f>
        <v/>
      </c>
      <c r="H75" s="24">
        <f>IFERROR(F75/(D75*E75),"")</f>
        <v/>
      </c>
      <c r="I75" s="13" t="n"/>
    </row>
    <row r="76">
      <c r="A76" s="15" t="n"/>
      <c r="B76" s="15" t="n"/>
      <c r="C76" s="15" t="n"/>
      <c r="D76" s="15" t="n"/>
      <c r="E76" s="15" t="n"/>
      <c r="F76" s="15" t="n"/>
      <c r="G76" s="16">
        <f>IFERROR(D76*E76/F76,"")</f>
        <v/>
      </c>
      <c r="H76" s="25">
        <f>IFERROR(F76/(D76*E76),"")</f>
        <v/>
      </c>
      <c r="I76" s="15" t="n"/>
    </row>
    <row r="77">
      <c r="A77" s="13" t="n"/>
      <c r="B77" s="13" t="n"/>
      <c r="C77" s="13" t="n"/>
      <c r="D77" s="13" t="n"/>
      <c r="E77" s="13" t="n"/>
      <c r="F77" s="13" t="n"/>
      <c r="G77" s="17">
        <f>IFERROR(D77*E77/F77,"")</f>
        <v/>
      </c>
      <c r="H77" s="24">
        <f>IFERROR(F77/(D77*E77),"")</f>
        <v/>
      </c>
      <c r="I77" s="13" t="n"/>
    </row>
    <row r="78">
      <c r="A78" s="15" t="n"/>
      <c r="B78" s="15" t="n"/>
      <c r="C78" s="15" t="n"/>
      <c r="D78" s="15" t="n"/>
      <c r="E78" s="15" t="n"/>
      <c r="F78" s="15" t="n"/>
      <c r="G78" s="16">
        <f>IFERROR(D78*E78/F78,"")</f>
        <v/>
      </c>
      <c r="H78" s="25">
        <f>IFERROR(F78/(D78*E78),"")</f>
        <v/>
      </c>
      <c r="I78" s="15" t="n"/>
    </row>
    <row r="79">
      <c r="A79" s="13" t="n"/>
      <c r="B79" s="13" t="n"/>
      <c r="C79" s="13" t="n"/>
      <c r="D79" s="13" t="n"/>
      <c r="E79" s="13" t="n"/>
      <c r="F79" s="13" t="n"/>
      <c r="G79" s="17">
        <f>IFERROR(D79*E79/F79,"")</f>
        <v/>
      </c>
      <c r="H79" s="24">
        <f>IFERROR(F79/(D79*E79),"")</f>
        <v/>
      </c>
      <c r="I79" s="13" t="n"/>
    </row>
    <row r="80">
      <c r="A80" s="15" t="n"/>
      <c r="B80" s="15" t="n"/>
      <c r="C80" s="15" t="n"/>
      <c r="D80" s="15" t="n"/>
      <c r="E80" s="15" t="n"/>
      <c r="F80" s="15" t="n"/>
      <c r="G80" s="16">
        <f>IFERROR(D80*E80/F80,"")</f>
        <v/>
      </c>
      <c r="H80" s="25">
        <f>IFERROR(F80/(D80*E80),"")</f>
        <v/>
      </c>
      <c r="I80" s="15" t="n"/>
    </row>
    <row r="81">
      <c r="A81" s="13" t="n"/>
      <c r="B81" s="13" t="n"/>
      <c r="C81" s="13" t="n"/>
      <c r="D81" s="13" t="n"/>
      <c r="E81" s="13" t="n"/>
      <c r="F81" s="13" t="n"/>
      <c r="G81" s="17">
        <f>IFERROR(D81*E81/F81,"")</f>
        <v/>
      </c>
      <c r="H81" s="24">
        <f>IFERROR(F81/(D81*E81),"")</f>
        <v/>
      </c>
      <c r="I81" s="13" t="n"/>
    </row>
    <row r="82">
      <c r="A82" s="15" t="n"/>
      <c r="B82" s="15" t="n"/>
      <c r="C82" s="15" t="n"/>
      <c r="D82" s="15" t="n"/>
      <c r="E82" s="15" t="n"/>
      <c r="F82" s="15" t="n"/>
      <c r="G82" s="16">
        <f>IFERROR(D82*E82/F82,"")</f>
        <v/>
      </c>
      <c r="H82" s="25">
        <f>IFERROR(F82/(D82*E82),"")</f>
        <v/>
      </c>
      <c r="I82" s="15" t="n"/>
    </row>
    <row r="83">
      <c r="A83" s="13" t="n"/>
      <c r="B83" s="13" t="n"/>
      <c r="C83" s="13" t="n"/>
      <c r="D83" s="13" t="n"/>
      <c r="E83" s="13" t="n"/>
      <c r="F83" s="13" t="n"/>
      <c r="G83" s="17">
        <f>IFERROR(D83*E83/F83,"")</f>
        <v/>
      </c>
      <c r="H83" s="24">
        <f>IFERROR(F83/(D83*E83),"")</f>
        <v/>
      </c>
      <c r="I83" s="13" t="n"/>
    </row>
    <row r="84">
      <c r="A84" s="15" t="n"/>
      <c r="B84" s="15" t="n"/>
      <c r="C84" s="15" t="n"/>
      <c r="D84" s="15" t="n"/>
      <c r="E84" s="15" t="n"/>
      <c r="F84" s="15" t="n"/>
      <c r="G84" s="16">
        <f>IFERROR(D84*E84/F84,"")</f>
        <v/>
      </c>
      <c r="H84" s="25">
        <f>IFERROR(F84/(D84*E84),"")</f>
        <v/>
      </c>
      <c r="I84" s="15" t="n"/>
    </row>
    <row r="85">
      <c r="A85" s="13" t="n"/>
      <c r="B85" s="13" t="n"/>
      <c r="C85" s="13" t="n"/>
      <c r="D85" s="13" t="n"/>
      <c r="E85" s="13" t="n"/>
      <c r="F85" s="13" t="n"/>
      <c r="G85" s="17">
        <f>IFERROR(D85*E85/F85,"")</f>
        <v/>
      </c>
      <c r="H85" s="24">
        <f>IFERROR(F85/(D85*E85),"")</f>
        <v/>
      </c>
      <c r="I85" s="13" t="n"/>
    </row>
    <row r="86">
      <c r="A86" s="15" t="n"/>
      <c r="B86" s="15" t="n"/>
      <c r="C86" s="15" t="n"/>
      <c r="D86" s="15" t="n"/>
      <c r="E86" s="15" t="n"/>
      <c r="F86" s="15" t="n"/>
      <c r="G86" s="16">
        <f>IFERROR(D86*E86/F86,"")</f>
        <v/>
      </c>
      <c r="H86" s="25">
        <f>IFERROR(F86/(D86*E86),"")</f>
        <v/>
      </c>
      <c r="I86" s="15" t="n"/>
    </row>
    <row r="87">
      <c r="A87" s="13" t="n"/>
      <c r="B87" s="13" t="n"/>
      <c r="C87" s="13" t="n"/>
      <c r="D87" s="13" t="n"/>
      <c r="E87" s="13" t="n"/>
      <c r="F87" s="13" t="n"/>
      <c r="G87" s="17">
        <f>IFERROR(D87*E87/F87,"")</f>
        <v/>
      </c>
      <c r="H87" s="24">
        <f>IFERROR(F87/(D87*E87),"")</f>
        <v/>
      </c>
      <c r="I87" s="13" t="n"/>
    </row>
    <row r="88">
      <c r="A88" s="15" t="n"/>
      <c r="B88" s="15" t="n"/>
      <c r="C88" s="15" t="n"/>
      <c r="D88" s="15" t="n"/>
      <c r="E88" s="15" t="n"/>
      <c r="F88" s="15" t="n"/>
      <c r="G88" s="16">
        <f>IFERROR(D88*E88/F88,"")</f>
        <v/>
      </c>
      <c r="H88" s="25">
        <f>IFERROR(F88/(D88*E88),"")</f>
        <v/>
      </c>
      <c r="I88" s="15" t="n"/>
    </row>
    <row r="89">
      <c r="A89" s="13" t="n"/>
      <c r="B89" s="13" t="n"/>
      <c r="C89" s="13" t="n"/>
      <c r="D89" s="13" t="n"/>
      <c r="E89" s="13" t="n"/>
      <c r="F89" s="13" t="n"/>
      <c r="G89" s="17">
        <f>IFERROR(D89*E89/F89,"")</f>
        <v/>
      </c>
      <c r="H89" s="24">
        <f>IFERROR(F89/(D89*E89),"")</f>
        <v/>
      </c>
      <c r="I89" s="13" t="n"/>
    </row>
    <row r="90">
      <c r="A90" s="15" t="n"/>
      <c r="B90" s="15" t="n"/>
      <c r="C90" s="15" t="n"/>
      <c r="D90" s="15" t="n"/>
      <c r="E90" s="15" t="n"/>
      <c r="F90" s="15" t="n"/>
      <c r="G90" s="16">
        <f>IFERROR(D90*E90/F90,"")</f>
        <v/>
      </c>
      <c r="H90" s="25">
        <f>IFERROR(F90/(D90*E90),"")</f>
        <v/>
      </c>
      <c r="I90" s="15" t="n"/>
    </row>
    <row r="91">
      <c r="A91" s="13" t="n"/>
      <c r="B91" s="13" t="n"/>
      <c r="C91" s="13" t="n"/>
      <c r="D91" s="13" t="n"/>
      <c r="E91" s="13" t="n"/>
      <c r="F91" s="13" t="n"/>
      <c r="G91" s="17">
        <f>IFERROR(D91*E91/F91,"")</f>
        <v/>
      </c>
      <c r="H91" s="24">
        <f>IFERROR(F91/(D91*E91),"")</f>
        <v/>
      </c>
      <c r="I91" s="13" t="n"/>
    </row>
    <row r="92">
      <c r="A92" s="15" t="n"/>
      <c r="B92" s="15" t="n"/>
      <c r="C92" s="15" t="n"/>
      <c r="D92" s="15" t="n"/>
      <c r="E92" s="15" t="n"/>
      <c r="F92" s="15" t="n"/>
      <c r="G92" s="16">
        <f>IFERROR(D92*E92/F92,"")</f>
        <v/>
      </c>
      <c r="H92" s="25">
        <f>IFERROR(F92/(D92*E92),"")</f>
        <v/>
      </c>
      <c r="I92" s="15" t="n"/>
    </row>
    <row r="93">
      <c r="A93" s="13" t="n"/>
      <c r="B93" s="13" t="n"/>
      <c r="C93" s="13" t="n"/>
      <c r="D93" s="13" t="n"/>
      <c r="E93" s="13" t="n"/>
      <c r="F93" s="13" t="n"/>
      <c r="G93" s="17">
        <f>IFERROR(D93*E93/F93,"")</f>
        <v/>
      </c>
      <c r="H93" s="24">
        <f>IFERROR(F93/(D93*E93),"")</f>
        <v/>
      </c>
      <c r="I93" s="13" t="n"/>
    </row>
    <row r="94">
      <c r="A94" s="15" t="n"/>
      <c r="B94" s="15" t="n"/>
      <c r="C94" s="15" t="n"/>
      <c r="D94" s="15" t="n"/>
      <c r="E94" s="15" t="n"/>
      <c r="F94" s="15" t="n"/>
      <c r="G94" s="16">
        <f>IFERROR(D94*E94/F94,"")</f>
        <v/>
      </c>
      <c r="H94" s="25">
        <f>IFERROR(F94/(D94*E94),"")</f>
        <v/>
      </c>
      <c r="I94" s="15" t="n"/>
    </row>
    <row r="95">
      <c r="A95" s="13" t="n"/>
      <c r="B95" s="13" t="n"/>
      <c r="C95" s="13" t="n"/>
      <c r="D95" s="13" t="n"/>
      <c r="E95" s="13" t="n"/>
      <c r="F95" s="13" t="n"/>
      <c r="G95" s="17">
        <f>IFERROR(D95*E95/F95,"")</f>
        <v/>
      </c>
      <c r="H95" s="24">
        <f>IFERROR(F95/(D95*E95),"")</f>
        <v/>
      </c>
      <c r="I95" s="13" t="n"/>
    </row>
    <row r="96">
      <c r="A96" s="15" t="n"/>
      <c r="B96" s="15" t="n"/>
      <c r="C96" s="15" t="n"/>
      <c r="D96" s="15" t="n"/>
      <c r="E96" s="15" t="n"/>
      <c r="F96" s="15" t="n"/>
      <c r="G96" s="16">
        <f>IFERROR(D96*E96/F96,"")</f>
        <v/>
      </c>
      <c r="H96" s="25">
        <f>IFERROR(F96/(D96*E96),"")</f>
        <v/>
      </c>
      <c r="I96" s="15" t="n"/>
    </row>
    <row r="97">
      <c r="A97" s="13" t="n"/>
      <c r="B97" s="13" t="n"/>
      <c r="C97" s="13" t="n"/>
      <c r="D97" s="13" t="n"/>
      <c r="E97" s="13" t="n"/>
      <c r="F97" s="13" t="n"/>
      <c r="G97" s="17">
        <f>IFERROR(D97*E97/F97,"")</f>
        <v/>
      </c>
      <c r="H97" s="24">
        <f>IFERROR(F97/(D97*E97),"")</f>
        <v/>
      </c>
      <c r="I97" s="13" t="n"/>
    </row>
    <row r="98">
      <c r="A98" s="15" t="n"/>
      <c r="B98" s="15" t="n"/>
      <c r="C98" s="15" t="n"/>
      <c r="D98" s="15" t="n"/>
      <c r="E98" s="15" t="n"/>
      <c r="F98" s="15" t="n"/>
      <c r="G98" s="16">
        <f>IFERROR(D98*E98/F98,"")</f>
        <v/>
      </c>
      <c r="H98" s="25">
        <f>IFERROR(F98/(D98*E98),"")</f>
        <v/>
      </c>
      <c r="I98" s="15" t="n"/>
    </row>
    <row r="99">
      <c r="A99" s="13" t="n"/>
      <c r="B99" s="13" t="n"/>
      <c r="C99" s="13" t="n"/>
      <c r="D99" s="13" t="n"/>
      <c r="E99" s="13" t="n"/>
      <c r="F99" s="13" t="n"/>
      <c r="G99" s="17">
        <f>IFERROR(D99*E99/F99,"")</f>
        <v/>
      </c>
      <c r="H99" s="24">
        <f>IFERROR(F99/(D99*E99),"")</f>
        <v/>
      </c>
      <c r="I99" s="13" t="n"/>
    </row>
    <row r="100">
      <c r="A100" s="15" t="n"/>
      <c r="B100" s="15" t="n"/>
      <c r="C100" s="15" t="n"/>
      <c r="D100" s="15" t="n"/>
      <c r="E100" s="15" t="n"/>
      <c r="F100" s="15" t="n"/>
      <c r="G100" s="16">
        <f>IFERROR(D100*E100/F100,"")</f>
        <v/>
      </c>
      <c r="H100" s="25">
        <f>IFERROR(F100/(D100*E100),"")</f>
        <v/>
      </c>
      <c r="I100" s="15" t="n"/>
    </row>
    <row r="101">
      <c r="A101" s="13" t="n"/>
      <c r="B101" s="13" t="n"/>
      <c r="C101" s="13" t="n"/>
      <c r="D101" s="13" t="n"/>
      <c r="E101" s="13" t="n"/>
      <c r="F101" s="13" t="n"/>
      <c r="G101" s="17">
        <f>IFERROR(D101*E101/F101,"")</f>
        <v/>
      </c>
      <c r="H101" s="24">
        <f>IFERROR(F101/(D101*E101),"")</f>
        <v/>
      </c>
      <c r="I101" s="13" t="n"/>
    </row>
    <row r="102">
      <c r="A102" s="15" t="n"/>
      <c r="B102" s="15" t="n"/>
      <c r="C102" s="15" t="n"/>
      <c r="D102" s="15" t="n"/>
      <c r="E102" s="15" t="n"/>
      <c r="F102" s="15" t="n"/>
      <c r="G102" s="16">
        <f>IFERROR(D102*E102/F102,"")</f>
        <v/>
      </c>
      <c r="H102" s="25">
        <f>IFERROR(F102/(D102*E102),"")</f>
        <v/>
      </c>
      <c r="I102" s="15" t="n"/>
    </row>
    <row r="103">
      <c r="A103" s="13" t="n"/>
      <c r="B103" s="13" t="n"/>
      <c r="C103" s="13" t="n"/>
      <c r="D103" s="13" t="n"/>
      <c r="E103" s="13" t="n"/>
      <c r="F103" s="13" t="n"/>
      <c r="G103" s="17">
        <f>IFERROR(D103*E103/F103,"")</f>
        <v/>
      </c>
      <c r="H103" s="24">
        <f>IFERROR(F103/(D103*E103),"")</f>
        <v/>
      </c>
      <c r="I103" s="13" t="n"/>
    </row>
    <row r="104">
      <c r="A104" s="15" t="n"/>
      <c r="B104" s="15" t="n"/>
      <c r="C104" s="15" t="n"/>
      <c r="D104" s="15" t="n"/>
      <c r="E104" s="15" t="n"/>
      <c r="F104" s="15" t="n"/>
      <c r="G104" s="16">
        <f>IFERROR(D104*E104/F104,"")</f>
        <v/>
      </c>
      <c r="H104" s="25">
        <f>IFERROR(F104/(D104*E104),"")</f>
        <v/>
      </c>
      <c r="I104" s="15" t="n"/>
    </row>
  </sheetData>
  <mergeCells count="2">
    <mergeCell ref="A1:I1"/>
    <mergeCell ref="A2:I2"/>
  </mergeCells>
  <conditionalFormatting sqref="G5:G104">
    <cfRule type="colorScale" priority="1">
      <colorScale>
        <cfvo type="num" val="0.5"/>
        <cfvo type="num" val="0.85"/>
        <cfvo type="num" val="1"/>
        <color rgb="FFFADBD8"/>
        <color rgb="FFFCF3CF"/>
        <color rgb="FFD5F5E3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6" sqref="A16"/>
    </sheetView>
  </sheetViews>
  <sheetFormatPr baseColWidth="8" defaultRowHeight="14.4"/>
  <cols>
    <col width="6" customWidth="1" style="27" min="1" max="1"/>
    <col width="32" customWidth="1" style="27" min="2" max="2"/>
    <col width="16" customWidth="1" style="27" min="3" max="3"/>
    <col width="12" customWidth="1" style="27" min="4" max="6"/>
    <col width="14" customWidth="1" style="27" min="7" max="9"/>
  </cols>
  <sheetData>
    <row r="1" ht="21" customHeight="1" s="27">
      <c r="A1" s="45" t="inlineStr">
        <is>
          <t>PLANO DE MELHORIA</t>
        </is>
      </c>
    </row>
    <row r="2">
      <c r="A2" s="39" t="inlineStr">
        <is>
          <t>Ações priorizadas: PRIORIDADE = IMPACTO ÷ ESFORÇO (1–5 cada)</t>
        </is>
      </c>
    </row>
    <row r="4" ht="28.05" customHeight="1" s="27">
      <c r="A4" s="14" t="inlineStr">
        <is>
          <t>ID</t>
        </is>
      </c>
      <c r="B4" s="14" t="inlineStr">
        <is>
          <t>AÇÃO</t>
        </is>
      </c>
      <c r="C4" s="14" t="inlineStr">
        <is>
          <t>ÁREA</t>
        </is>
      </c>
      <c r="D4" s="14" t="inlineStr">
        <is>
          <t>IMPACTO</t>
        </is>
      </c>
      <c r="E4" s="14" t="inlineStr">
        <is>
          <t>ESFORÇO</t>
        </is>
      </c>
      <c r="F4" s="14" t="inlineStr">
        <is>
          <t>PRIORIDADE</t>
        </is>
      </c>
      <c r="G4" s="14" t="inlineStr">
        <is>
          <t>RESPONSÁVEL</t>
        </is>
      </c>
      <c r="H4" s="14" t="inlineStr">
        <is>
          <t>PRAZO</t>
        </is>
      </c>
      <c r="I4" s="14" t="inlineStr">
        <is>
          <t>STATUS</t>
        </is>
      </c>
    </row>
    <row r="5">
      <c r="A5" s="13">
        <f>IF(B5&lt;&gt;"",ROW()-4,"")</f>
        <v/>
      </c>
      <c r="B5" s="13" t="n"/>
      <c r="C5" s="13" t="n"/>
      <c r="D5" s="13" t="n"/>
      <c r="E5" s="13" t="n"/>
      <c r="F5" s="24">
        <f>IFERROR(D5/E5,"")</f>
        <v/>
      </c>
      <c r="G5" s="13" t="n"/>
      <c r="H5" s="13" t="n"/>
      <c r="I5" s="13" t="n"/>
    </row>
    <row r="6">
      <c r="A6" s="15">
        <f>IF(B6&lt;&gt;"",ROW()-4,"")</f>
        <v/>
      </c>
      <c r="B6" s="15" t="n"/>
      <c r="C6" s="15" t="n"/>
      <c r="D6" s="15" t="n"/>
      <c r="E6" s="15" t="n"/>
      <c r="F6" s="25">
        <f>IFERROR(D6/E6,"")</f>
        <v/>
      </c>
      <c r="G6" s="15" t="n"/>
      <c r="H6" s="15" t="n"/>
      <c r="I6" s="15" t="n"/>
    </row>
    <row r="7">
      <c r="A7" s="13">
        <f>IF(B7&lt;&gt;"",ROW()-4,"")</f>
        <v/>
      </c>
      <c r="B7" s="13" t="n"/>
      <c r="C7" s="13" t="n"/>
      <c r="D7" s="13" t="n"/>
      <c r="E7" s="13" t="n"/>
      <c r="F7" s="24">
        <f>IFERROR(D7/E7,"")</f>
        <v/>
      </c>
      <c r="G7" s="13" t="n"/>
      <c r="H7" s="13" t="n"/>
      <c r="I7" s="13" t="n"/>
    </row>
    <row r="8">
      <c r="A8" s="15">
        <f>IF(B8&lt;&gt;"",ROW()-4,"")</f>
        <v/>
      </c>
      <c r="B8" s="15" t="n"/>
      <c r="C8" s="15" t="n"/>
      <c r="D8" s="15" t="n"/>
      <c r="E8" s="15" t="n"/>
      <c r="F8" s="25">
        <f>IFERROR(D8/E8,"")</f>
        <v/>
      </c>
      <c r="G8" s="15" t="n"/>
      <c r="H8" s="15" t="n"/>
      <c r="I8" s="15" t="n"/>
    </row>
    <row r="9">
      <c r="A9" s="13">
        <f>IF(B9&lt;&gt;"",ROW()-4,"")</f>
        <v/>
      </c>
      <c r="B9" s="13" t="n"/>
      <c r="C9" s="13" t="n"/>
      <c r="D9" s="13" t="n"/>
      <c r="E9" s="13" t="n"/>
      <c r="F9" s="24">
        <f>IFERROR(D9/E9,"")</f>
        <v/>
      </c>
      <c r="G9" s="13" t="n"/>
      <c r="H9" s="13" t="n"/>
      <c r="I9" s="13" t="n"/>
    </row>
    <row r="10">
      <c r="A10" s="15">
        <f>IF(B10&lt;&gt;"",ROW()-4,"")</f>
        <v/>
      </c>
      <c r="B10" s="15" t="n"/>
      <c r="C10" s="15" t="n"/>
      <c r="D10" s="15" t="n"/>
      <c r="E10" s="15" t="n"/>
      <c r="F10" s="25">
        <f>IFERROR(D10/E10,"")</f>
        <v/>
      </c>
      <c r="G10" s="15" t="n"/>
      <c r="H10" s="15" t="n"/>
      <c r="I10" s="15" t="n"/>
    </row>
    <row r="11">
      <c r="A11" s="13">
        <f>IF(B11&lt;&gt;"",ROW()-4,"")</f>
        <v/>
      </c>
      <c r="B11" s="13" t="n"/>
      <c r="C11" s="13" t="n"/>
      <c r="D11" s="13" t="n"/>
      <c r="E11" s="13" t="n"/>
      <c r="F11" s="24">
        <f>IFERROR(D11/E11,"")</f>
        <v/>
      </c>
      <c r="G11" s="13" t="n"/>
      <c r="H11" s="13" t="n"/>
      <c r="I11" s="13" t="n"/>
    </row>
    <row r="12">
      <c r="A12" s="15">
        <f>IF(B12&lt;&gt;"",ROW()-4,"")</f>
        <v/>
      </c>
      <c r="B12" s="15" t="n"/>
      <c r="C12" s="15" t="n"/>
      <c r="D12" s="15" t="n"/>
      <c r="E12" s="15" t="n"/>
      <c r="F12" s="25">
        <f>IFERROR(D12/E12,"")</f>
        <v/>
      </c>
      <c r="G12" s="15" t="n"/>
      <c r="H12" s="15" t="n"/>
      <c r="I12" s="15" t="n"/>
    </row>
    <row r="13">
      <c r="A13" s="13">
        <f>IF(B13&lt;&gt;"",ROW()-4,"")</f>
        <v/>
      </c>
      <c r="B13" s="13" t="n"/>
      <c r="C13" s="13" t="n"/>
      <c r="D13" s="13" t="n"/>
      <c r="E13" s="13" t="n"/>
      <c r="F13" s="24">
        <f>IFERROR(D13/E13,"")</f>
        <v/>
      </c>
      <c r="G13" s="13" t="n"/>
      <c r="H13" s="13" t="n"/>
      <c r="I13" s="13" t="n"/>
    </row>
    <row r="14">
      <c r="A14" s="15">
        <f>IF(B14&lt;&gt;"",ROW()-4,"")</f>
        <v/>
      </c>
      <c r="B14" s="15" t="n"/>
      <c r="C14" s="15" t="n"/>
      <c r="D14" s="15" t="n"/>
      <c r="E14" s="15" t="n"/>
      <c r="F14" s="25">
        <f>IFERROR(D14/E14,"")</f>
        <v/>
      </c>
      <c r="G14" s="15" t="n"/>
      <c r="H14" s="15" t="n"/>
      <c r="I14" s="15" t="n"/>
    </row>
    <row r="15">
      <c r="A15" s="13">
        <f>IF(B15&lt;&gt;"",ROW()-4,"")</f>
        <v/>
      </c>
      <c r="B15" s="13" t="n"/>
      <c r="C15" s="13" t="n"/>
      <c r="D15" s="13" t="n"/>
      <c r="E15" s="13" t="n"/>
      <c r="F15" s="24">
        <f>IFERROR(D15/E15,"")</f>
        <v/>
      </c>
      <c r="G15" s="13" t="n"/>
      <c r="H15" s="13" t="n"/>
      <c r="I15" s="13" t="n"/>
    </row>
    <row r="16">
      <c r="A16" s="15">
        <f>IF(B16&lt;&gt;"",ROW()-4,"")</f>
        <v/>
      </c>
      <c r="B16" s="15" t="n"/>
      <c r="C16" s="15" t="n"/>
      <c r="D16" s="15" t="n"/>
      <c r="E16" s="15" t="n"/>
      <c r="F16" s="25">
        <f>IFERROR(D16/E16,"")</f>
        <v/>
      </c>
      <c r="G16" s="15" t="n"/>
      <c r="H16" s="15" t="n"/>
      <c r="I16" s="15" t="n"/>
    </row>
    <row r="17">
      <c r="A17" s="13">
        <f>IF(B17&lt;&gt;"",ROW()-4,"")</f>
        <v/>
      </c>
      <c r="B17" s="13" t="n"/>
      <c r="C17" s="13" t="n"/>
      <c r="D17" s="13" t="n"/>
      <c r="E17" s="13" t="n"/>
      <c r="F17" s="24">
        <f>IFERROR(D17/E17,"")</f>
        <v/>
      </c>
      <c r="G17" s="13" t="n"/>
      <c r="H17" s="13" t="n"/>
      <c r="I17" s="13" t="n"/>
    </row>
    <row r="18">
      <c r="A18" s="15">
        <f>IF(B18&lt;&gt;"",ROW()-4,"")</f>
        <v/>
      </c>
      <c r="B18" s="15" t="n"/>
      <c r="C18" s="15" t="n"/>
      <c r="D18" s="15" t="n"/>
      <c r="E18" s="15" t="n"/>
      <c r="F18" s="25">
        <f>IFERROR(D18/E18,"")</f>
        <v/>
      </c>
      <c r="G18" s="15" t="n"/>
      <c r="H18" s="15" t="n"/>
      <c r="I18" s="15" t="n"/>
    </row>
    <row r="19">
      <c r="A19" s="13">
        <f>IF(B19&lt;&gt;"",ROW()-4,"")</f>
        <v/>
      </c>
      <c r="B19" s="13" t="n"/>
      <c r="C19" s="13" t="n"/>
      <c r="D19" s="13" t="n"/>
      <c r="E19" s="13" t="n"/>
      <c r="F19" s="24">
        <f>IFERROR(D19/E19,"")</f>
        <v/>
      </c>
      <c r="G19" s="13" t="n"/>
      <c r="H19" s="13" t="n"/>
      <c r="I19" s="13" t="n"/>
    </row>
    <row r="20">
      <c r="A20" s="15">
        <f>IF(B20&lt;&gt;"",ROW()-4,"")</f>
        <v/>
      </c>
      <c r="B20" s="15" t="n"/>
      <c r="C20" s="15" t="n"/>
      <c r="D20" s="15" t="n"/>
      <c r="E20" s="15" t="n"/>
      <c r="F20" s="25">
        <f>IFERROR(D20/E20,"")</f>
        <v/>
      </c>
      <c r="G20" s="15" t="n"/>
      <c r="H20" s="15" t="n"/>
      <c r="I20" s="15" t="n"/>
    </row>
    <row r="21">
      <c r="A21" s="13">
        <f>IF(B21&lt;&gt;"",ROW()-4,"")</f>
        <v/>
      </c>
      <c r="B21" s="13" t="n"/>
      <c r="C21" s="13" t="n"/>
      <c r="D21" s="13" t="n"/>
      <c r="E21" s="13" t="n"/>
      <c r="F21" s="24">
        <f>IFERROR(D21/E21,"")</f>
        <v/>
      </c>
      <c r="G21" s="13" t="n"/>
      <c r="H21" s="13" t="n"/>
      <c r="I21" s="13" t="n"/>
    </row>
    <row r="22">
      <c r="A22" s="15">
        <f>IF(B22&lt;&gt;"",ROW()-4,"")</f>
        <v/>
      </c>
      <c r="B22" s="15" t="n"/>
      <c r="C22" s="15" t="n"/>
      <c r="D22" s="15" t="n"/>
      <c r="E22" s="15" t="n"/>
      <c r="F22" s="25">
        <f>IFERROR(D22/E22,"")</f>
        <v/>
      </c>
      <c r="G22" s="15" t="n"/>
      <c r="H22" s="15" t="n"/>
      <c r="I22" s="15" t="n"/>
    </row>
    <row r="23">
      <c r="A23" s="13">
        <f>IF(B23&lt;&gt;"",ROW()-4,"")</f>
        <v/>
      </c>
      <c r="B23" s="13" t="n"/>
      <c r="C23" s="13" t="n"/>
      <c r="D23" s="13" t="n"/>
      <c r="E23" s="13" t="n"/>
      <c r="F23" s="24">
        <f>IFERROR(D23/E23,"")</f>
        <v/>
      </c>
      <c r="G23" s="13" t="n"/>
      <c r="H23" s="13" t="n"/>
      <c r="I23" s="13" t="n"/>
    </row>
    <row r="24">
      <c r="A24" s="15">
        <f>IF(B24&lt;&gt;"",ROW()-4,"")</f>
        <v/>
      </c>
      <c r="B24" s="15" t="n"/>
      <c r="C24" s="15" t="n"/>
      <c r="D24" s="15" t="n"/>
      <c r="E24" s="15" t="n"/>
      <c r="F24" s="25">
        <f>IFERROR(D24/E24,"")</f>
        <v/>
      </c>
      <c r="G24" s="15" t="n"/>
      <c r="H24" s="15" t="n"/>
      <c r="I24" s="15" t="n"/>
    </row>
    <row r="25">
      <c r="A25" s="13">
        <f>IF(B25&lt;&gt;"",ROW()-4,"")</f>
        <v/>
      </c>
      <c r="B25" s="13" t="n"/>
      <c r="C25" s="13" t="n"/>
      <c r="D25" s="13" t="n"/>
      <c r="E25" s="13" t="n"/>
      <c r="F25" s="24">
        <f>IFERROR(D25/E25,"")</f>
        <v/>
      </c>
      <c r="G25" s="13" t="n"/>
      <c r="H25" s="13" t="n"/>
      <c r="I25" s="13" t="n"/>
    </row>
    <row r="26">
      <c r="A26" s="15">
        <f>IF(B26&lt;&gt;"",ROW()-4,"")</f>
        <v/>
      </c>
      <c r="B26" s="15" t="n"/>
      <c r="C26" s="15" t="n"/>
      <c r="D26" s="15" t="n"/>
      <c r="E26" s="15" t="n"/>
      <c r="F26" s="25">
        <f>IFERROR(D26/E26,"")</f>
        <v/>
      </c>
      <c r="G26" s="15" t="n"/>
      <c r="H26" s="15" t="n"/>
      <c r="I26" s="15" t="n"/>
    </row>
    <row r="27">
      <c r="A27" s="13">
        <f>IF(B27&lt;&gt;"",ROW()-4,"")</f>
        <v/>
      </c>
      <c r="B27" s="13" t="n"/>
      <c r="C27" s="13" t="n"/>
      <c r="D27" s="13" t="n"/>
      <c r="E27" s="13" t="n"/>
      <c r="F27" s="24">
        <f>IFERROR(D27/E27,"")</f>
        <v/>
      </c>
      <c r="G27" s="13" t="n"/>
      <c r="H27" s="13" t="n"/>
      <c r="I27" s="13" t="n"/>
    </row>
    <row r="28">
      <c r="A28" s="15">
        <f>IF(B28&lt;&gt;"",ROW()-4,"")</f>
        <v/>
      </c>
      <c r="B28" s="15" t="n"/>
      <c r="C28" s="15" t="n"/>
      <c r="D28" s="15" t="n"/>
      <c r="E28" s="15" t="n"/>
      <c r="F28" s="25">
        <f>IFERROR(D28/E28,"")</f>
        <v/>
      </c>
      <c r="G28" s="15" t="n"/>
      <c r="H28" s="15" t="n"/>
      <c r="I28" s="15" t="n"/>
    </row>
    <row r="29">
      <c r="A29" s="13">
        <f>IF(B29&lt;&gt;"",ROW()-4,"")</f>
        <v/>
      </c>
      <c r="B29" s="13" t="n"/>
      <c r="C29" s="13" t="n"/>
      <c r="D29" s="13" t="n"/>
      <c r="E29" s="13" t="n"/>
      <c r="F29" s="24">
        <f>IFERROR(D29/E29,"")</f>
        <v/>
      </c>
      <c r="G29" s="13" t="n"/>
      <c r="H29" s="13" t="n"/>
      <c r="I29" s="13" t="n"/>
    </row>
    <row r="30">
      <c r="A30" s="15">
        <f>IF(B30&lt;&gt;"",ROW()-4,"")</f>
        <v/>
      </c>
      <c r="B30" s="15" t="n"/>
      <c r="C30" s="15" t="n"/>
      <c r="D30" s="15" t="n"/>
      <c r="E30" s="15" t="n"/>
      <c r="F30" s="25">
        <f>IFERROR(D30/E30,"")</f>
        <v/>
      </c>
      <c r="G30" s="15" t="n"/>
      <c r="H30" s="15" t="n"/>
      <c r="I30" s="15" t="n"/>
    </row>
    <row r="31">
      <c r="A31" s="13">
        <f>IF(B31&lt;&gt;"",ROW()-4,"")</f>
        <v/>
      </c>
      <c r="B31" s="13" t="n"/>
      <c r="C31" s="13" t="n"/>
      <c r="D31" s="13" t="n"/>
      <c r="E31" s="13" t="n"/>
      <c r="F31" s="24">
        <f>IFERROR(D31/E31,"")</f>
        <v/>
      </c>
      <c r="G31" s="13" t="n"/>
      <c r="H31" s="13" t="n"/>
      <c r="I31" s="13" t="n"/>
    </row>
    <row r="32">
      <c r="A32" s="15">
        <f>IF(B32&lt;&gt;"",ROW()-4,"")</f>
        <v/>
      </c>
      <c r="B32" s="15" t="n"/>
      <c r="C32" s="15" t="n"/>
      <c r="D32" s="15" t="n"/>
      <c r="E32" s="15" t="n"/>
      <c r="F32" s="25">
        <f>IFERROR(D32/E32,"")</f>
        <v/>
      </c>
      <c r="G32" s="15" t="n"/>
      <c r="H32" s="15" t="n"/>
      <c r="I32" s="15" t="n"/>
    </row>
    <row r="33">
      <c r="A33" s="13">
        <f>IF(B33&lt;&gt;"",ROW()-4,"")</f>
        <v/>
      </c>
      <c r="B33" s="13" t="n"/>
      <c r="C33" s="13" t="n"/>
      <c r="D33" s="13" t="n"/>
      <c r="E33" s="13" t="n"/>
      <c r="F33" s="24">
        <f>IFERROR(D33/E33,"")</f>
        <v/>
      </c>
      <c r="G33" s="13" t="n"/>
      <c r="H33" s="13" t="n"/>
      <c r="I33" s="13" t="n"/>
    </row>
    <row r="34">
      <c r="A34" s="15">
        <f>IF(B34&lt;&gt;"",ROW()-4,"")</f>
        <v/>
      </c>
      <c r="B34" s="15" t="n"/>
      <c r="C34" s="15" t="n"/>
      <c r="D34" s="15" t="n"/>
      <c r="E34" s="15" t="n"/>
      <c r="F34" s="25">
        <f>IFERROR(D34/E34,"")</f>
        <v/>
      </c>
      <c r="G34" s="15" t="n"/>
      <c r="H34" s="15" t="n"/>
      <c r="I34" s="15" t="n"/>
    </row>
  </sheetData>
  <mergeCells count="2">
    <mergeCell ref="A1:I1"/>
    <mergeCell ref="A2:I2"/>
  </mergeCells>
  <conditionalFormatting sqref="F5:F34">
    <cfRule type="colorScale" priority="1">
      <colorScale>
        <cfvo type="num" val="0.4"/>
        <cfvo type="num" val="1"/>
        <cfvo type="num" val="3"/>
        <color rgb="FFFADBD8"/>
        <color rgb="FFFCF3CF"/>
        <color rgb="FFD5F5E3"/>
      </colorScale>
    </cfRule>
  </conditionalFormatting>
  <dataValidations count="2">
    <dataValidation sqref="D5:E34" showDropDown="0" showInputMessage="0" showErrorMessage="0" allowBlank="1" type="list">
      <formula1>"1,2,3,4,5"</formula1>
    </dataValidation>
    <dataValidation sqref="I5:I34" showDropDown="0" showInputMessage="0" showErrorMessage="0" allowBlank="1" type="list">
      <formula1>"ABERTA,EM ANDAMENTO,CONCLUÍDA,CANCELADA"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2026-05-09T23:51:11Z</dcterms:created>
  <dcterms:modified xsi:type="dcterms:W3CDTF">2026-05-14T20:36:50Z</dcterms:modified>
  <cp:lastModifiedBy>Alexandre Souza</cp:lastModifiedBy>
</cp:coreProperties>
</file>